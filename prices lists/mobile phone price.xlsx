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Student\Desktop\"/>
    </mc:Choice>
  </mc:AlternateContent>
  <bookViews>
    <workbookView xWindow="0" yWindow="0" windowWidth="15530" windowHeight="6640" firstSheet="2" activeTab="2"/>
  </bookViews>
  <sheets>
    <sheet name="Groceries Standard Kits" sheetId="13" r:id="rId1"/>
    <sheet name="Cosmetic, Facial Make-Up, Manic" sheetId="12" r:id="rId2"/>
    <sheet name="Mobile Phone and Accessories" sheetId="7" r:id="rId3"/>
  </sheets>
  <definedNames>
    <definedName name="_xlnm.Print_Area" localSheetId="1">'Cosmetic, Facial Make-Up, Manic'!$A$1:$H$70</definedName>
    <definedName name="_xlnm.Print_Area" localSheetId="0">'Groceries Standard Kits'!$A$1:$H$56</definedName>
    <definedName name="_xlnm.Print_Area" localSheetId="2">'Mobile Phone and Accessories'!$A$1:$G$42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7" l="1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8" i="7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8" i="12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8" i="13"/>
  <c r="I61" i="13" s="1"/>
  <c r="I62" i="13" s="1"/>
  <c r="I71" i="12" l="1"/>
  <c r="H43" i="7" l="1"/>
</calcChain>
</file>

<file path=xl/sharedStrings.xml><?xml version="1.0" encoding="utf-8"?>
<sst xmlns="http://schemas.openxmlformats.org/spreadsheetml/2006/main" count="468" uniqueCount="201">
  <si>
    <t>Groceries Standard Kits Price List</t>
  </si>
  <si>
    <t xml:space="preserve">Shaw Trading Investment </t>
  </si>
  <si>
    <t>No.</t>
  </si>
  <si>
    <t>Description</t>
  </si>
  <si>
    <t>Project Code/WBS</t>
  </si>
  <si>
    <t>Qty.</t>
  </si>
  <si>
    <t>Unit</t>
  </si>
  <si>
    <t>Unit Price (SLE)</t>
  </si>
  <si>
    <t>Total Price (SLE)</t>
  </si>
  <si>
    <t>Short Bread Biscuits</t>
  </si>
  <si>
    <t>N/A</t>
  </si>
  <si>
    <t>Cartoon</t>
  </si>
  <si>
    <t xml:space="preserve">Digestive Plain Biscuits </t>
  </si>
  <si>
    <t>Digestive Chocolate Biscuits</t>
  </si>
  <si>
    <t>Spaghetti</t>
  </si>
  <si>
    <t>Tomato Ketchup</t>
  </si>
  <si>
    <t>Soft Drink Coke</t>
  </si>
  <si>
    <t>Dozen</t>
  </si>
  <si>
    <t>Custard Cream</t>
  </si>
  <si>
    <t>Corn Flakes</t>
  </si>
  <si>
    <t>Mayonnaise</t>
  </si>
  <si>
    <t>Sepia Sardine</t>
  </si>
  <si>
    <t>O.A.U Rice</t>
  </si>
  <si>
    <t>Bag</t>
  </si>
  <si>
    <t>Grafton Water</t>
  </si>
  <si>
    <t>Packet</t>
  </si>
  <si>
    <t>Sierra Juice</t>
  </si>
  <si>
    <t>Saba Soap</t>
  </si>
  <si>
    <t>Maxam Paste</t>
  </si>
  <si>
    <t>Pc</t>
  </si>
  <si>
    <t>Tusk Spray</t>
  </si>
  <si>
    <t>Peanut Butter</t>
  </si>
  <si>
    <t>Ovaltine</t>
  </si>
  <si>
    <t>Peak Milk Powder</t>
  </si>
  <si>
    <t xml:space="preserve">St. Louis Sugar </t>
  </si>
  <si>
    <t>St. Louis Sugar (474g x 50in)</t>
  </si>
  <si>
    <t>Box</t>
  </si>
  <si>
    <t>Cerelac Baby Milk</t>
  </si>
  <si>
    <t xml:space="preserve">Cereal for Baby </t>
  </si>
  <si>
    <t>Baby Diaper</t>
  </si>
  <si>
    <t xml:space="preserve">Equate Petroleum Jelly </t>
  </si>
  <si>
    <t xml:space="preserve">Johnson &amp; Johnson Baby Oil </t>
  </si>
  <si>
    <t>Baby Suit</t>
  </si>
  <si>
    <t>Sugar</t>
  </si>
  <si>
    <t>Cereal Big Box</t>
  </si>
  <si>
    <t>Porridge Mix</t>
  </si>
  <si>
    <t>Tomato Paste</t>
  </si>
  <si>
    <t>Beans</t>
  </si>
  <si>
    <t>Sardine</t>
  </si>
  <si>
    <t>NIDO/MILO Milk</t>
  </si>
  <si>
    <t>Salt 1Kg</t>
  </si>
  <si>
    <t xml:space="preserve">Vegetable Oil </t>
  </si>
  <si>
    <t>Gallon</t>
  </si>
  <si>
    <t>Butter</t>
  </si>
  <si>
    <t>Brown Sugar</t>
  </si>
  <si>
    <t xml:space="preserve">Coffee </t>
  </si>
  <si>
    <t>Tea Leaf (Box of 100 sachets)</t>
  </si>
  <si>
    <t>Salad Dressings</t>
  </si>
  <si>
    <t>Quick Oats</t>
  </si>
  <si>
    <t>Crackers Biscuit</t>
  </si>
  <si>
    <t>Dye mint</t>
  </si>
  <si>
    <t>50kg 214 Flour</t>
  </si>
  <si>
    <t>Granulated Sugar 50kg (24" x 36")</t>
  </si>
  <si>
    <t>Each</t>
  </si>
  <si>
    <t>15% Goods and Services Tax</t>
  </si>
  <si>
    <t>Transportation</t>
  </si>
  <si>
    <t>Insurance</t>
  </si>
  <si>
    <t>Discount (if any)</t>
  </si>
  <si>
    <t xml:space="preserve">Recommended Vendor:                  </t>
  </si>
  <si>
    <t>Shaw Tarding Investment</t>
  </si>
  <si>
    <t>TOTAL (in SLE)</t>
  </si>
  <si>
    <t>Justification:</t>
  </si>
  <si>
    <t>Shaw Tarding Investment is recommended for award as its quotation meets</t>
  </si>
  <si>
    <t>TOTAL (in USD)</t>
  </si>
  <si>
    <t xml:space="preserve"> the required specifications for the groceries standard kits and is the most cost-competitive </t>
  </si>
  <si>
    <t>DELIVERY SCHEDULE</t>
  </si>
  <si>
    <t>As per agreement</t>
  </si>
  <si>
    <t>responsive offer received. The evaluated total of SLE 23,119.00 (USD 970.37) is the lowest</t>
  </si>
  <si>
    <t>TERMS OF PAYMENT</t>
  </si>
  <si>
    <t xml:space="preserve"> among the compared bids, providing best value for money while satisfying the procurement </t>
  </si>
  <si>
    <t>CONTACT PERSON</t>
  </si>
  <si>
    <t>shawtrading120@gmail.com</t>
  </si>
  <si>
    <t>requirements.</t>
  </si>
  <si>
    <t xml:space="preserve">Recommended by:  </t>
  </si>
  <si>
    <t>Reviewed By:</t>
  </si>
  <si>
    <t>(Senior Pro/Log Asst)</t>
  </si>
  <si>
    <t>(Reintegration Officer)</t>
  </si>
  <si>
    <t>Signature:</t>
  </si>
  <si>
    <t>Name: Jinkey Sesay</t>
  </si>
  <si>
    <t>Name:  AJUONUMA Onyinyechukwu Irene</t>
  </si>
  <si>
    <t xml:space="preserve">Date  01 July 226: </t>
  </si>
  <si>
    <t xml:space="preserve">Date: </t>
  </si>
  <si>
    <t>Submission Date</t>
  </si>
  <si>
    <t>20/10/2025</t>
  </si>
  <si>
    <t>Registration Date</t>
  </si>
  <si>
    <t>Business Category</t>
  </si>
  <si>
    <t xml:space="preserve">Cosmetic, Facial Make-Up, Manicure and Pedicure Price List </t>
  </si>
  <si>
    <t>KIM BEAUTY PARLOUR INVESTMENT</t>
  </si>
  <si>
    <t>Expression Ultra brand</t>
  </si>
  <si>
    <t xml:space="preserve">Afro Kin Kin </t>
  </si>
  <si>
    <t xml:space="preserve">Wonder grow bergamot </t>
  </si>
  <si>
    <t xml:space="preserve">wonder grow coconut oil </t>
  </si>
  <si>
    <t>wonder grow Indian hemp</t>
  </si>
  <si>
    <t xml:space="preserve">wonder grow shea butter </t>
  </si>
  <si>
    <t>Wonder grow aloe vera</t>
  </si>
  <si>
    <t>leisure curl coconut oil</t>
  </si>
  <si>
    <t>Olive Cream</t>
  </si>
  <si>
    <t>Gel</t>
  </si>
  <si>
    <t>optimal</t>
  </si>
  <si>
    <t>ABC Cream</t>
  </si>
  <si>
    <t xml:space="preserve">Olive Sheen Spray </t>
  </si>
  <si>
    <t>Expression Weavon</t>
  </si>
  <si>
    <t>Assorted nails</t>
  </si>
  <si>
    <t>Irish Spring soap</t>
  </si>
  <si>
    <t>Mouth Wash</t>
  </si>
  <si>
    <t>bathing shampoo</t>
  </si>
  <si>
    <t>Saba Soap Medium Size</t>
  </si>
  <si>
    <t>Laundry Soap</t>
  </si>
  <si>
    <t>Scented Soap</t>
  </si>
  <si>
    <t>Eye pencils</t>
  </si>
  <si>
    <t>Gel wax</t>
  </si>
  <si>
    <t>Foundation</t>
  </si>
  <si>
    <t>Set</t>
  </si>
  <si>
    <t>Make-up brushes</t>
  </si>
  <si>
    <t>Primer</t>
  </si>
  <si>
    <t>Mascara</t>
  </si>
  <si>
    <t>Highlighter</t>
  </si>
  <si>
    <t>Eyeliner</t>
  </si>
  <si>
    <t>Concealer</t>
  </si>
  <si>
    <t>Contour</t>
  </si>
  <si>
    <t>Make-up sponge</t>
  </si>
  <si>
    <t>Eye lash curler</t>
  </si>
  <si>
    <t>Facial wipes</t>
  </si>
  <si>
    <t>Sitting spray</t>
  </si>
  <si>
    <t>Eyelash glue</t>
  </si>
  <si>
    <t>Eye lash</t>
  </si>
  <si>
    <t>Lip sticks</t>
  </si>
  <si>
    <t>Eye shadows</t>
  </si>
  <si>
    <t>Sitting power</t>
  </si>
  <si>
    <t>Facial power</t>
  </si>
  <si>
    <t>Eye razors</t>
  </si>
  <si>
    <t>Palette set</t>
  </si>
  <si>
    <t>Face mask</t>
  </si>
  <si>
    <t>Hand gloves</t>
  </si>
  <si>
    <t>Pair</t>
  </si>
  <si>
    <t>Dettol 125ml</t>
  </si>
  <si>
    <t>Foot tea leaf</t>
  </si>
  <si>
    <t>Foot salt</t>
  </si>
  <si>
    <t>Foot shrub</t>
  </si>
  <si>
    <t>Foot cream</t>
  </si>
  <si>
    <t>Cotton balls</t>
  </si>
  <si>
    <t>Polish remover</t>
  </si>
  <si>
    <t>Pumice Stone</t>
  </si>
  <si>
    <t>Pedicure blades</t>
  </si>
  <si>
    <t>Foot Spa</t>
  </si>
  <si>
    <t>Foot File</t>
  </si>
  <si>
    <t>Toenail clippers</t>
  </si>
  <si>
    <t>Nail Scissors</t>
  </si>
  <si>
    <t>Nail brush</t>
  </si>
  <si>
    <t>Cuticle Oil</t>
  </si>
  <si>
    <t>Nail files</t>
  </si>
  <si>
    <t>Nail cutters</t>
  </si>
  <si>
    <t>Towels</t>
  </si>
  <si>
    <t xml:space="preserve">Mobile Phone and Accessories Price List </t>
  </si>
  <si>
    <t>ELECTROMOBILE INVESTMENT</t>
  </si>
  <si>
    <t>Total Price  (SLE)</t>
  </si>
  <si>
    <t>T528 Tecno</t>
  </si>
  <si>
    <t>Itel A70</t>
  </si>
  <si>
    <t>Spark GO 2023</t>
  </si>
  <si>
    <t>Spark GO 2024</t>
  </si>
  <si>
    <t>Infinix Note 30</t>
  </si>
  <si>
    <t>Itel A055</t>
  </si>
  <si>
    <t>Kgtel Yolo 3</t>
  </si>
  <si>
    <t>Oale</t>
  </si>
  <si>
    <t>Tecno Spark 20</t>
  </si>
  <si>
    <t>Corn C60</t>
  </si>
  <si>
    <t>Infinix Pop 7 Pro</t>
  </si>
  <si>
    <t>Infinix Smart 7 HD</t>
  </si>
  <si>
    <t>Samsung Galaxy A14</t>
  </si>
  <si>
    <t>Itel S18</t>
  </si>
  <si>
    <t>Huawei Y7</t>
  </si>
  <si>
    <t>Cammon 20</t>
  </si>
  <si>
    <t>Itel A04</t>
  </si>
  <si>
    <t>Samsung A9 64GB Tablet</t>
  </si>
  <si>
    <t>Headphone AKG</t>
  </si>
  <si>
    <t>Phone Power Bank</t>
  </si>
  <si>
    <t>Head Phone for Iphone</t>
  </si>
  <si>
    <t>Fast Charger M.M.W</t>
  </si>
  <si>
    <t>Fast Charger Ch-Ant 200</t>
  </si>
  <si>
    <t>Travel Charger Ch-61 Micro</t>
  </si>
  <si>
    <t>Travel Adaptor 45WPD</t>
  </si>
  <si>
    <t>Travel Charger CH-P12 3 Pin</t>
  </si>
  <si>
    <t>Fashion Case</t>
  </si>
  <si>
    <t>Mobile Phone Case</t>
  </si>
  <si>
    <t>Mobile Phone Silicon Case</t>
  </si>
  <si>
    <t>Fashion Case Silicone</t>
  </si>
  <si>
    <t>Silicone Cover</t>
  </si>
  <si>
    <t>Silicone 7 Media Plus</t>
  </si>
  <si>
    <t>USB Cord Flat Pin</t>
  </si>
  <si>
    <t>USB Cord Type C</t>
  </si>
  <si>
    <t>USB Cord Phantom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</si>
</sst>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[$SLL]\ #,##0"/>
  </numFmts>
  <fonts count="19">
    <font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6"/>
      <color indexed="9"/>
      <name val="Arial"/>
      <family val="2"/>
    </font>
    <font>
      <sz val="14"/>
      <color indexed="9"/>
      <name val="Arial"/>
      <family val="2"/>
    </font>
    <font>
      <b/>
      <sz val="10"/>
      <name val="Arial"/>
      <family val="2"/>
    </font>
    <font>
      <b/>
      <i/>
      <sz val="1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name val="Arial"/>
      <family val="2"/>
      <charset val="162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name val="Calibri"/>
      <family val="2"/>
    </font>
    <font>
      <sz val="10"/>
      <color rgb="FF000000"/>
      <name val="Times New Roman"/>
      <family val="1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100">
    <xf numFmtId="0" fontId="0" fillId="0" borderId="0" xfId="0"/>
    <xf numFmtId="0" fontId="0" fillId="2" borderId="0" xfId="0" applyFill="1" applyAlignment="1" applyProtection="1">
      <alignment horizontal="center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2" fillId="2" borderId="0" xfId="0" applyFont="1" applyFill="1" applyAlignment="1" applyProtection="1">
      <alignment horizontal="left"/>
      <protection locked="0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" fillId="5" borderId="10" xfId="0" applyFont="1" applyFill="1" applyBorder="1" applyAlignment="1" applyProtection="1">
      <alignment horizontal="center" vertical="center"/>
      <protection locked="0"/>
    </xf>
    <xf numFmtId="0" fontId="8" fillId="5" borderId="10" xfId="0" applyFont="1" applyFill="1" applyBorder="1" applyAlignment="1" applyProtection="1">
      <alignment horizontal="center" vertical="center" wrapText="1"/>
      <protection locked="0"/>
    </xf>
    <xf numFmtId="0" fontId="7" fillId="5" borderId="10" xfId="0" applyFont="1" applyFill="1" applyBorder="1" applyAlignment="1" applyProtection="1">
      <alignment horizontal="center" vertical="center"/>
      <protection locked="0"/>
    </xf>
    <xf numFmtId="3" fontId="7" fillId="5" borderId="10" xfId="0" applyNumberFormat="1" applyFont="1" applyFill="1" applyBorder="1" applyAlignment="1" applyProtection="1">
      <alignment horizontal="center" vertical="center"/>
      <protection locked="0"/>
    </xf>
    <xf numFmtId="2" fontId="7" fillId="5" borderId="10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164" fontId="7" fillId="5" borderId="10" xfId="0" applyNumberFormat="1" applyFont="1" applyFill="1" applyBorder="1" applyAlignment="1" applyProtection="1">
      <alignment horizontal="center" vertical="center"/>
      <protection locked="0"/>
    </xf>
    <xf numFmtId="164" fontId="1" fillId="2" borderId="0" xfId="0" applyNumberFormat="1" applyFont="1" applyFill="1" applyProtection="1">
      <protection locked="0"/>
    </xf>
    <xf numFmtId="164" fontId="7" fillId="5" borderId="10" xfId="0" applyNumberFormat="1" applyFont="1" applyFill="1" applyBorder="1" applyAlignment="1" applyProtection="1">
      <alignment horizontal="right" vertical="center"/>
      <protection locked="0"/>
    </xf>
    <xf numFmtId="2" fontId="7" fillId="5" borderId="10" xfId="0" applyNumberFormat="1" applyFont="1" applyFill="1" applyBorder="1" applyAlignment="1" applyProtection="1">
      <alignment horizontal="right" vertical="center"/>
      <protection locked="0"/>
    </xf>
    <xf numFmtId="0" fontId="10" fillId="2" borderId="0" xfId="0" applyFont="1" applyFill="1" applyProtection="1"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5" fillId="2" borderId="12" xfId="0" applyFont="1" applyFill="1" applyBorder="1" applyAlignment="1" applyProtection="1">
      <alignment vertical="center"/>
      <protection locked="0"/>
    </xf>
    <xf numFmtId="0" fontId="11" fillId="2" borderId="0" xfId="0" applyFont="1" applyFill="1"/>
    <xf numFmtId="0" fontId="9" fillId="2" borderId="0" xfId="0" applyFont="1" applyFill="1" applyAlignment="1">
      <alignment horizontal="right"/>
    </xf>
    <xf numFmtId="0" fontId="5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5" fillId="2" borderId="0" xfId="0" applyFont="1" applyFill="1" applyAlignment="1" applyProtection="1">
      <alignment horizontal="right"/>
      <protection locked="0"/>
    </xf>
    <xf numFmtId="0" fontId="5" fillId="2" borderId="0" xfId="0" applyFont="1" applyFill="1" applyAlignment="1" applyProtection="1">
      <alignment horizontal="center"/>
      <protection locked="0"/>
    </xf>
    <xf numFmtId="0" fontId="5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horizontal="left" vertical="center" wrapText="1"/>
      <protection locked="0"/>
    </xf>
    <xf numFmtId="0" fontId="1" fillId="2" borderId="0" xfId="0" applyFont="1" applyFill="1" applyAlignment="1" applyProtection="1">
      <alignment horizontal="left" vertical="center"/>
      <protection locked="0"/>
    </xf>
    <xf numFmtId="0" fontId="0" fillId="2" borderId="0" xfId="0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14" fillId="6" borderId="25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25" xfId="0" applyFont="1" applyFill="1" applyBorder="1" applyAlignment="1">
      <alignment horizontal="center" vertical="center"/>
    </xf>
    <xf numFmtId="0" fontId="13" fillId="2" borderId="0" xfId="3" applyFill="1" applyAlignment="1" applyProtection="1">
      <alignment horizontal="center"/>
      <protection locked="0"/>
    </xf>
    <xf numFmtId="0" fontId="17" fillId="6" borderId="25" xfId="0" applyFont="1" applyFill="1" applyBorder="1" applyAlignment="1">
      <alignment horizontal="center" vertical="center"/>
    </xf>
    <xf numFmtId="2" fontId="1" fillId="5" borderId="0" xfId="0" applyNumberFormat="1" applyFont="1" applyFill="1" applyProtection="1">
      <protection locked="0"/>
    </xf>
    <xf numFmtId="0" fontId="1" fillId="5" borderId="0" xfId="0" applyFont="1" applyFill="1" applyProtection="1">
      <protection locked="0"/>
    </xf>
    <xf numFmtId="2" fontId="1" fillId="5" borderId="0" xfId="0" applyNumberFormat="1" applyFont="1" applyFill="1" applyAlignment="1" applyProtection="1">
      <alignment vertical="center"/>
      <protection locked="0"/>
    </xf>
    <xf numFmtId="0" fontId="1" fillId="5" borderId="0" xfId="0" applyFont="1" applyFill="1" applyAlignment="1" applyProtection="1">
      <alignment vertical="center"/>
      <protection locked="0"/>
    </xf>
    <xf numFmtId="0" fontId="1" fillId="5" borderId="0" xfId="0" applyFont="1" applyFill="1" applyAlignment="1" applyProtection="1">
      <alignment horizontal="left" vertical="center"/>
      <protection locked="0"/>
    </xf>
    <xf numFmtId="2" fontId="5" fillId="5" borderId="0" xfId="0" applyNumberFormat="1" applyFont="1" applyFill="1" applyAlignment="1" applyProtection="1">
      <alignment horizontal="left" vertical="center"/>
      <protection locked="0"/>
    </xf>
    <xf numFmtId="0" fontId="5" fillId="5" borderId="0" xfId="0" applyFont="1" applyFill="1" applyAlignment="1" applyProtection="1">
      <alignment horizontal="left" vertical="center"/>
      <protection locked="0"/>
    </xf>
    <xf numFmtId="2" fontId="1" fillId="5" borderId="0" xfId="0" applyNumberFormat="1" applyFont="1" applyFill="1" applyAlignment="1" applyProtection="1">
      <alignment horizontal="center" vertical="center"/>
      <protection locked="0"/>
    </xf>
    <xf numFmtId="0" fontId="14" fillId="5" borderId="25" xfId="0" applyFont="1" applyFill="1" applyBorder="1" applyAlignment="1">
      <alignment horizontal="center" vertical="center"/>
    </xf>
    <xf numFmtId="0" fontId="14" fillId="5" borderId="25" xfId="0" applyFont="1" applyFill="1" applyBorder="1" applyAlignment="1">
      <alignment vertical="center"/>
    </xf>
    <xf numFmtId="0" fontId="18" fillId="5" borderId="25" xfId="0" applyFont="1" applyFill="1" applyBorder="1" applyAlignment="1">
      <alignment vertical="center" wrapText="1"/>
    </xf>
    <xf numFmtId="0" fontId="16" fillId="5" borderId="25" xfId="0" applyFont="1" applyFill="1" applyBorder="1" applyAlignment="1">
      <alignment horizontal="center" vertical="center" wrapText="1"/>
    </xf>
    <xf numFmtId="0" fontId="18" fillId="5" borderId="25" xfId="0" applyFont="1" applyFill="1" applyBorder="1" applyAlignment="1">
      <alignment horizontal="center" vertical="center" wrapText="1"/>
    </xf>
    <xf numFmtId="0" fontId="5" fillId="5" borderId="0" xfId="0" applyFont="1" applyFill="1" applyAlignment="1" applyProtection="1">
      <alignment horizontal="left" vertical="center" wrapText="1"/>
      <protection locked="0"/>
    </xf>
    <xf numFmtId="2" fontId="1" fillId="5" borderId="0" xfId="0" applyNumberFormat="1" applyFont="1" applyFill="1" applyAlignment="1" applyProtection="1">
      <alignment horizontal="center"/>
      <protection locked="0"/>
    </xf>
    <xf numFmtId="14" fontId="1" fillId="5" borderId="0" xfId="0" applyNumberFormat="1" applyFont="1" applyFill="1" applyAlignment="1" applyProtection="1">
      <alignment horizontal="center"/>
      <protection locked="0"/>
    </xf>
    <xf numFmtId="0" fontId="14" fillId="5" borderId="2" xfId="0" applyFont="1" applyFill="1" applyBorder="1" applyAlignment="1">
      <alignment horizontal="center" vertical="center"/>
    </xf>
    <xf numFmtId="0" fontId="5" fillId="2" borderId="0" xfId="0" applyFont="1" applyFill="1" applyAlignment="1" applyProtection="1">
      <alignment horizontal="center"/>
      <protection locked="0"/>
    </xf>
    <xf numFmtId="0" fontId="7" fillId="2" borderId="14" xfId="0" applyFont="1" applyFill="1" applyBorder="1" applyAlignment="1" applyProtection="1">
      <alignment horizontal="left" vertical="center" wrapText="1"/>
      <protection locked="0"/>
    </xf>
    <xf numFmtId="0" fontId="7" fillId="2" borderId="15" xfId="0" applyFont="1" applyFill="1" applyBorder="1" applyAlignment="1" applyProtection="1">
      <alignment horizontal="left" vertical="center" wrapText="1"/>
      <protection locked="0"/>
    </xf>
    <xf numFmtId="0" fontId="7" fillId="2" borderId="16" xfId="0" applyFont="1" applyFill="1" applyBorder="1" applyAlignment="1" applyProtection="1">
      <alignment horizontal="left" vertical="center" wrapText="1"/>
      <protection locked="0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7" fillId="2" borderId="27" xfId="0" applyFont="1" applyFill="1" applyBorder="1" applyAlignment="1" applyProtection="1">
      <alignment horizontal="left" vertical="center" wrapText="1"/>
      <protection locked="0"/>
    </xf>
    <xf numFmtId="0" fontId="7" fillId="2" borderId="28" xfId="0" applyFont="1" applyFill="1" applyBorder="1" applyAlignment="1" applyProtection="1">
      <alignment horizontal="left" vertical="center" wrapText="1"/>
      <protection locked="0"/>
    </xf>
    <xf numFmtId="0" fontId="7" fillId="2" borderId="29" xfId="0" applyFont="1" applyFill="1" applyBorder="1" applyAlignment="1" applyProtection="1">
      <alignment horizontal="left" vertical="center" wrapText="1"/>
      <protection locked="0"/>
    </xf>
    <xf numFmtId="0" fontId="7" fillId="2" borderId="11" xfId="0" applyFont="1" applyFill="1" applyBorder="1" applyAlignment="1" applyProtection="1">
      <alignment horizontal="left" vertical="center" wrapText="1"/>
      <protection locked="0"/>
    </xf>
    <xf numFmtId="0" fontId="7" fillId="2" borderId="12" xfId="0" applyFont="1" applyFill="1" applyBorder="1" applyAlignment="1" applyProtection="1">
      <alignment horizontal="left" vertical="center" wrapText="1"/>
      <protection locked="0"/>
    </xf>
    <xf numFmtId="0" fontId="7" fillId="2" borderId="13" xfId="0" applyFont="1" applyFill="1" applyBorder="1" applyAlignment="1" applyProtection="1">
      <alignment horizontal="left" vertical="center" wrapText="1"/>
      <protection locked="0"/>
    </xf>
    <xf numFmtId="0" fontId="9" fillId="5" borderId="17" xfId="0" applyFont="1" applyFill="1" applyBorder="1" applyAlignment="1" applyProtection="1">
      <alignment horizontal="right"/>
      <protection locked="0"/>
    </xf>
    <xf numFmtId="0" fontId="9" fillId="5" borderId="18" xfId="0" applyFont="1" applyFill="1" applyBorder="1" applyAlignment="1" applyProtection="1">
      <alignment horizontal="right"/>
      <protection locked="0"/>
    </xf>
    <xf numFmtId="0" fontId="9" fillId="5" borderId="19" xfId="0" applyFont="1" applyFill="1" applyBorder="1" applyAlignment="1" applyProtection="1">
      <alignment horizontal="right"/>
      <protection locked="0"/>
    </xf>
    <xf numFmtId="0" fontId="9" fillId="5" borderId="15" xfId="0" applyFont="1" applyFill="1" applyBorder="1" applyAlignment="1" applyProtection="1">
      <alignment horizontal="right"/>
      <protection locked="0"/>
    </xf>
    <xf numFmtId="0" fontId="3" fillId="3" borderId="0" xfId="0" applyFont="1" applyFill="1" applyAlignment="1">
      <alignment horizontal="center" vertical="center"/>
    </xf>
    <xf numFmtId="0" fontId="5" fillId="2" borderId="0" xfId="0" applyFont="1" applyFill="1" applyAlignment="1" applyProtection="1">
      <alignment horizontal="left" vertical="center" wrapText="1"/>
      <protection locked="0"/>
    </xf>
    <xf numFmtId="0" fontId="0" fillId="2" borderId="0" xfId="0" applyFill="1" applyAlignment="1" applyProtection="1">
      <alignment horizontal="left"/>
      <protection locked="0"/>
    </xf>
    <xf numFmtId="0" fontId="0" fillId="2" borderId="0" xfId="0" applyFill="1" applyAlignment="1" applyProtection="1">
      <alignment horizontal="center" vertical="top" wrapText="1"/>
      <protection locked="0"/>
    </xf>
    <xf numFmtId="0" fontId="6" fillId="5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4" fontId="7" fillId="5" borderId="22" xfId="0" applyNumberFormat="1" applyFont="1" applyFill="1" applyBorder="1" applyAlignment="1" applyProtection="1">
      <alignment horizontal="right" vertical="center"/>
      <protection locked="0"/>
    </xf>
    <xf numFmtId="4" fontId="7" fillId="5" borderId="23" xfId="0" applyNumberFormat="1" applyFont="1" applyFill="1" applyBorder="1" applyAlignment="1" applyProtection="1">
      <alignment horizontal="right" vertical="center"/>
      <protection locked="0"/>
    </xf>
    <xf numFmtId="4" fontId="8" fillId="0" borderId="8" xfId="0" applyNumberFormat="1" applyFont="1" applyBorder="1" applyAlignment="1" applyProtection="1">
      <alignment horizontal="right" vertical="center"/>
      <protection locked="0"/>
    </xf>
    <xf numFmtId="4" fontId="8" fillId="0" borderId="6" xfId="0" applyNumberFormat="1" applyFont="1" applyBorder="1" applyAlignment="1" applyProtection="1">
      <alignment horizontal="right" vertical="center"/>
      <protection locked="0"/>
    </xf>
    <xf numFmtId="14" fontId="12" fillId="5" borderId="1" xfId="0" applyNumberFormat="1" applyFont="1" applyFill="1" applyBorder="1" applyAlignment="1" applyProtection="1">
      <alignment horizontal="center" vertical="center"/>
      <protection locked="0"/>
    </xf>
    <xf numFmtId="0" fontId="0" fillId="5" borderId="2" xfId="0" applyFill="1" applyBorder="1" applyAlignment="1" applyProtection="1">
      <alignment horizontal="center" vertical="center"/>
      <protection locked="0"/>
    </xf>
    <xf numFmtId="0" fontId="12" fillId="5" borderId="1" xfId="0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center" vertical="center"/>
      <protection locked="0"/>
    </xf>
    <xf numFmtId="0" fontId="13" fillId="5" borderId="24" xfId="3" applyFill="1" applyBorder="1" applyAlignment="1" applyProtection="1">
      <alignment horizontal="center" vertical="center"/>
      <protection locked="0"/>
    </xf>
    <xf numFmtId="0" fontId="1" fillId="5" borderId="25" xfId="0" applyFont="1" applyFill="1" applyBorder="1" applyAlignment="1" applyProtection="1">
      <alignment horizontal="center" vertical="center"/>
      <protection locked="0"/>
    </xf>
    <xf numFmtId="0" fontId="9" fillId="5" borderId="20" xfId="0" applyFont="1" applyFill="1" applyBorder="1" applyAlignment="1" applyProtection="1">
      <alignment horizontal="right"/>
      <protection locked="0"/>
    </xf>
    <xf numFmtId="0" fontId="9" fillId="5" borderId="21" xfId="0" applyFont="1" applyFill="1" applyBorder="1" applyAlignment="1" applyProtection="1">
      <alignment horizontal="right"/>
      <protection locked="0"/>
    </xf>
    <xf numFmtId="0" fontId="7" fillId="2" borderId="10" xfId="0" applyFont="1" applyFill="1" applyBorder="1" applyAlignment="1" applyProtection="1">
      <alignment horizontal="left" vertical="center" wrapText="1"/>
      <protection locked="0"/>
    </xf>
    <xf numFmtId="0" fontId="7" fillId="2" borderId="26" xfId="0" applyFont="1" applyFill="1" applyBorder="1" applyAlignment="1" applyProtection="1">
      <alignment horizontal="left" vertical="center" wrapText="1"/>
      <protection locked="0"/>
    </xf>
  </cellXfs>
  <cellStyles count="4">
    <cellStyle name="Comma 2" xfId="2"/>
    <cellStyle name="Hyperlink" xfId="3" builtinId="8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836083</xdr:colOff>
      <xdr:row>1</xdr:row>
      <xdr:rowOff>12451</xdr:rowOff>
    </xdr:from>
    <xdr:to>
      <xdr:col>7</xdr:col>
      <xdr:colOff>373928</xdr:colOff>
      <xdr:row>2</xdr:row>
      <xdr:rowOff>209055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A45E85-9C20-4208-BCDE-9BFD30AEAA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16250" y="171201"/>
          <a:ext cx="3062095" cy="7575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52917</xdr:colOff>
      <xdr:row>1</xdr:row>
      <xdr:rowOff>23035</xdr:rowOff>
    </xdr:from>
    <xdr:to>
      <xdr:col>8</xdr:col>
      <xdr:colOff>4570</xdr:colOff>
      <xdr:row>2</xdr:row>
      <xdr:rowOff>219639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3A3EA0-D923-472D-A556-DDC097909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89250" y="181785"/>
          <a:ext cx="3062095" cy="7575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42333</xdr:colOff>
      <xdr:row>0</xdr:row>
      <xdr:rowOff>23034</xdr:rowOff>
    </xdr:from>
    <xdr:to>
      <xdr:col>7</xdr:col>
      <xdr:colOff>490345</xdr:colOff>
      <xdr:row>2</xdr:row>
      <xdr:rowOff>60888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02DDC8-1C35-4C66-83FA-F7234E3C30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54250" y="23034"/>
          <a:ext cx="3062095" cy="7575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hawtrading120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86"/>
  <sheetViews>
    <sheetView zoomScale="60" zoomScaleNormal="60" workbookViewId="0">
      <selection activeCell="A4" sqref="A4:J5"/>
    </sheetView>
  </sheetViews>
  <sheetFormatPr defaultColWidth="9.1796875" defaultRowHeight="12.5"/>
  <cols>
    <col min="1" max="1" width="4.81640625" style="2" customWidth="1"/>
    <col min="2" max="2" width="10.1796875" style="2" customWidth="1"/>
    <col min="3" max="3" width="16.26953125" style="2" customWidth="1"/>
    <col min="4" max="4" width="23.26953125" style="3" customWidth="1"/>
    <col min="5" max="5" width="9.26953125" style="3" hidden="1" customWidth="1"/>
    <col min="6" max="6" width="16.81640625" style="2" bestFit="1" customWidth="1"/>
    <col min="7" max="7" width="10.1796875" style="3" customWidth="1"/>
    <col min="8" max="8" width="18.81640625" style="3" bestFit="1" customWidth="1"/>
    <col min="9" max="9" width="14.54296875" style="45" bestFit="1" customWidth="1"/>
    <col min="10" max="10" width="15.453125" style="46" bestFit="1" customWidth="1"/>
    <col min="11" max="11" width="9.1796875" style="3" customWidth="1"/>
    <col min="12" max="12" width="9.1796875" style="3"/>
    <col min="13" max="13" width="14.1796875" style="3" bestFit="1" customWidth="1"/>
    <col min="14" max="16384" width="9.1796875" style="3"/>
  </cols>
  <sheetData>
    <row r="1" spans="1:10">
      <c r="A1" s="1"/>
    </row>
    <row r="2" spans="1:10" ht="44.25" customHeight="1"/>
    <row r="3" spans="1:10" ht="23.25" customHeight="1">
      <c r="A3" s="4"/>
    </row>
    <row r="4" spans="1:10" ht="3" customHeight="1">
      <c r="A4" s="80" t="s">
        <v>0</v>
      </c>
      <c r="B4" s="80"/>
      <c r="C4" s="80"/>
      <c r="D4" s="80"/>
      <c r="E4" s="80"/>
      <c r="F4" s="80"/>
      <c r="G4" s="80"/>
      <c r="H4" s="80"/>
      <c r="I4" s="80"/>
      <c r="J4" s="80"/>
    </row>
    <row r="5" spans="1:10" s="5" customFormat="1" ht="20.25" customHeight="1" thickBot="1">
      <c r="A5" s="80"/>
      <c r="B5" s="80"/>
      <c r="C5" s="80"/>
      <c r="D5" s="80"/>
      <c r="E5" s="80"/>
      <c r="F5" s="80"/>
      <c r="G5" s="80"/>
      <c r="H5" s="80"/>
      <c r="I5" s="80"/>
      <c r="J5" s="80"/>
    </row>
    <row r="6" spans="1:10" s="7" customFormat="1" ht="41.25" customHeight="1" thickBot="1">
      <c r="A6" s="6"/>
      <c r="B6" s="6"/>
      <c r="C6" s="6"/>
      <c r="I6" s="84" t="s">
        <v>1</v>
      </c>
      <c r="J6" s="85"/>
    </row>
    <row r="7" spans="1:10" s="13" customFormat="1" ht="26.5" thickBot="1">
      <c r="A7" s="8" t="s">
        <v>2</v>
      </c>
      <c r="B7" s="66" t="s">
        <v>3</v>
      </c>
      <c r="C7" s="67"/>
      <c r="D7" s="68"/>
      <c r="E7" s="69"/>
      <c r="F7" s="9" t="s">
        <v>4</v>
      </c>
      <c r="G7" s="10" t="s">
        <v>5</v>
      </c>
      <c r="H7" s="11" t="s">
        <v>6</v>
      </c>
      <c r="I7" s="12" t="s">
        <v>7</v>
      </c>
      <c r="J7" s="12" t="s">
        <v>8</v>
      </c>
    </row>
    <row r="8" spans="1:10" s="19" customFormat="1" ht="22" customHeight="1" thickBot="1">
      <c r="A8" s="14">
        <v>1</v>
      </c>
      <c r="B8" s="70" t="s">
        <v>9</v>
      </c>
      <c r="C8" s="71"/>
      <c r="D8" s="71"/>
      <c r="E8" s="72"/>
      <c r="F8" s="15" t="s">
        <v>10</v>
      </c>
      <c r="G8" s="16">
        <v>1</v>
      </c>
      <c r="H8" s="41" t="s">
        <v>11</v>
      </c>
      <c r="I8" s="53">
        <v>1300</v>
      </c>
      <c r="J8" s="17">
        <f t="shared" ref="J8:J39" si="0">I8*G8</f>
        <v>1300</v>
      </c>
    </row>
    <row r="9" spans="1:10" s="19" customFormat="1" ht="22" customHeight="1" thickBot="1">
      <c r="A9" s="14">
        <v>2</v>
      </c>
      <c r="B9" s="73" t="s">
        <v>12</v>
      </c>
      <c r="C9" s="74"/>
      <c r="D9" s="74"/>
      <c r="E9" s="75"/>
      <c r="F9" s="15" t="s">
        <v>10</v>
      </c>
      <c r="G9" s="16">
        <v>1</v>
      </c>
      <c r="H9" s="42" t="s">
        <v>11</v>
      </c>
      <c r="I9" s="53">
        <v>600</v>
      </c>
      <c r="J9" s="17">
        <f t="shared" si="0"/>
        <v>600</v>
      </c>
    </row>
    <row r="10" spans="1:10" s="19" customFormat="1" ht="22" customHeight="1" thickBot="1">
      <c r="A10" s="14">
        <v>3</v>
      </c>
      <c r="B10" s="63" t="s">
        <v>13</v>
      </c>
      <c r="C10" s="64"/>
      <c r="D10" s="64"/>
      <c r="E10" s="65"/>
      <c r="F10" s="15" t="s">
        <v>10</v>
      </c>
      <c r="G10" s="16">
        <v>1</v>
      </c>
      <c r="H10" s="42" t="s">
        <v>11</v>
      </c>
      <c r="I10" s="53">
        <v>1400</v>
      </c>
      <c r="J10" s="17">
        <f t="shared" si="0"/>
        <v>1400</v>
      </c>
    </row>
    <row r="11" spans="1:10" s="19" customFormat="1" ht="22" customHeight="1" thickBot="1">
      <c r="A11" s="14">
        <v>4</v>
      </c>
      <c r="B11" s="63" t="s">
        <v>14</v>
      </c>
      <c r="C11" s="64"/>
      <c r="D11" s="64"/>
      <c r="E11" s="65"/>
      <c r="F11" s="15" t="s">
        <v>10</v>
      </c>
      <c r="G11" s="16">
        <v>1</v>
      </c>
      <c r="H11" s="42" t="s">
        <v>11</v>
      </c>
      <c r="I11" s="53">
        <v>700</v>
      </c>
      <c r="J11" s="17">
        <f t="shared" si="0"/>
        <v>700</v>
      </c>
    </row>
    <row r="12" spans="1:10" s="19" customFormat="1" ht="23.15" customHeight="1" thickBot="1">
      <c r="A12" s="14">
        <v>5</v>
      </c>
      <c r="B12" s="63" t="s">
        <v>15</v>
      </c>
      <c r="C12" s="64"/>
      <c r="D12" s="64"/>
      <c r="E12" s="65"/>
      <c r="F12" s="15" t="s">
        <v>10</v>
      </c>
      <c r="G12" s="16">
        <v>1</v>
      </c>
      <c r="H12" s="42" t="s">
        <v>11</v>
      </c>
      <c r="I12" s="54">
        <v>550</v>
      </c>
      <c r="J12" s="17">
        <f t="shared" si="0"/>
        <v>550</v>
      </c>
    </row>
    <row r="13" spans="1:10" s="19" customFormat="1" ht="22" customHeight="1" thickBot="1">
      <c r="A13" s="14">
        <v>6</v>
      </c>
      <c r="B13" s="63" t="s">
        <v>16</v>
      </c>
      <c r="C13" s="64"/>
      <c r="D13" s="64"/>
      <c r="E13" s="65"/>
      <c r="F13" s="15" t="s">
        <v>10</v>
      </c>
      <c r="G13" s="16">
        <v>1</v>
      </c>
      <c r="H13" s="42" t="s">
        <v>17</v>
      </c>
      <c r="I13" s="53">
        <v>350</v>
      </c>
      <c r="J13" s="17">
        <f t="shared" si="0"/>
        <v>350</v>
      </c>
    </row>
    <row r="14" spans="1:10" s="19" customFormat="1" ht="22" customHeight="1" thickBot="1">
      <c r="A14" s="14">
        <v>7</v>
      </c>
      <c r="B14" s="63" t="s">
        <v>18</v>
      </c>
      <c r="C14" s="64"/>
      <c r="D14" s="64"/>
      <c r="E14" s="65"/>
      <c r="F14" s="15" t="s">
        <v>10</v>
      </c>
      <c r="G14" s="16">
        <v>1</v>
      </c>
      <c r="H14" s="42" t="s">
        <v>11</v>
      </c>
      <c r="I14" s="53">
        <v>1400</v>
      </c>
      <c r="J14" s="17">
        <f t="shared" si="0"/>
        <v>1400</v>
      </c>
    </row>
    <row r="15" spans="1:10" s="19" customFormat="1" ht="22" customHeight="1" thickBot="1">
      <c r="A15" s="14">
        <v>8</v>
      </c>
      <c r="B15" s="63" t="s">
        <v>19</v>
      </c>
      <c r="C15" s="64"/>
      <c r="D15" s="64"/>
      <c r="E15" s="65"/>
      <c r="F15" s="15" t="s">
        <v>10</v>
      </c>
      <c r="G15" s="16">
        <v>1</v>
      </c>
      <c r="H15" s="42" t="s">
        <v>17</v>
      </c>
      <c r="I15" s="53">
        <v>700</v>
      </c>
      <c r="J15" s="17">
        <f t="shared" si="0"/>
        <v>700</v>
      </c>
    </row>
    <row r="16" spans="1:10" s="19" customFormat="1" ht="22" customHeight="1" thickBot="1">
      <c r="A16" s="14">
        <v>9</v>
      </c>
      <c r="B16" s="63" t="s">
        <v>20</v>
      </c>
      <c r="C16" s="64"/>
      <c r="D16" s="64"/>
      <c r="E16" s="65"/>
      <c r="F16" s="15" t="s">
        <v>10</v>
      </c>
      <c r="G16" s="16">
        <v>1</v>
      </c>
      <c r="H16" s="42" t="s">
        <v>11</v>
      </c>
      <c r="I16" s="53">
        <v>650</v>
      </c>
      <c r="J16" s="17">
        <f t="shared" si="0"/>
        <v>650</v>
      </c>
    </row>
    <row r="17" spans="1:10" s="19" customFormat="1" ht="22" customHeight="1" thickBot="1">
      <c r="A17" s="14">
        <v>10</v>
      </c>
      <c r="B17" s="63" t="s">
        <v>21</v>
      </c>
      <c r="C17" s="64"/>
      <c r="D17" s="64"/>
      <c r="E17" s="65"/>
      <c r="F17" s="15" t="s">
        <v>10</v>
      </c>
      <c r="G17" s="16">
        <v>1</v>
      </c>
      <c r="H17" s="42" t="s">
        <v>11</v>
      </c>
      <c r="I17" s="53">
        <v>1500</v>
      </c>
      <c r="J17" s="17">
        <f t="shared" si="0"/>
        <v>1500</v>
      </c>
    </row>
    <row r="18" spans="1:10" s="19" customFormat="1" ht="22" customHeight="1" thickBot="1">
      <c r="A18" s="14">
        <v>11</v>
      </c>
      <c r="B18" s="63" t="s">
        <v>22</v>
      </c>
      <c r="C18" s="64"/>
      <c r="D18" s="64"/>
      <c r="E18" s="65"/>
      <c r="F18" s="15" t="s">
        <v>10</v>
      </c>
      <c r="G18" s="16">
        <v>1</v>
      </c>
      <c r="H18" s="42" t="s">
        <v>23</v>
      </c>
      <c r="I18" s="53">
        <v>700</v>
      </c>
      <c r="J18" s="17">
        <f t="shared" si="0"/>
        <v>700</v>
      </c>
    </row>
    <row r="19" spans="1:10" s="19" customFormat="1" ht="22" customHeight="1" thickBot="1">
      <c r="A19" s="14">
        <v>12</v>
      </c>
      <c r="B19" s="63" t="s">
        <v>24</v>
      </c>
      <c r="C19" s="64"/>
      <c r="D19" s="64"/>
      <c r="E19" s="65"/>
      <c r="F19" s="15" t="s">
        <v>10</v>
      </c>
      <c r="G19" s="16">
        <v>1</v>
      </c>
      <c r="H19" s="42" t="s">
        <v>25</v>
      </c>
      <c r="I19" s="53">
        <v>50</v>
      </c>
      <c r="J19" s="17">
        <f t="shared" si="0"/>
        <v>50</v>
      </c>
    </row>
    <row r="20" spans="1:10" s="19" customFormat="1" ht="22" customHeight="1" thickBot="1">
      <c r="A20" s="14">
        <v>13</v>
      </c>
      <c r="B20" s="63" t="s">
        <v>26</v>
      </c>
      <c r="C20" s="64"/>
      <c r="D20" s="64"/>
      <c r="E20" s="65"/>
      <c r="F20" s="15" t="s">
        <v>10</v>
      </c>
      <c r="G20" s="16">
        <v>1</v>
      </c>
      <c r="H20" s="42" t="s">
        <v>11</v>
      </c>
      <c r="I20" s="53">
        <v>385</v>
      </c>
      <c r="J20" s="17">
        <f t="shared" si="0"/>
        <v>385</v>
      </c>
    </row>
    <row r="21" spans="1:10" s="19" customFormat="1" ht="23.15" customHeight="1" thickBot="1">
      <c r="A21" s="14">
        <v>14</v>
      </c>
      <c r="B21" s="63" t="s">
        <v>27</v>
      </c>
      <c r="C21" s="64"/>
      <c r="D21" s="64"/>
      <c r="E21" s="65"/>
      <c r="F21" s="15" t="s">
        <v>10</v>
      </c>
      <c r="G21" s="16">
        <v>1</v>
      </c>
      <c r="H21" s="42" t="s">
        <v>11</v>
      </c>
      <c r="I21" s="53">
        <v>385</v>
      </c>
      <c r="J21" s="17">
        <f t="shared" si="0"/>
        <v>385</v>
      </c>
    </row>
    <row r="22" spans="1:10" s="19" customFormat="1" ht="23.15" customHeight="1" thickBot="1">
      <c r="A22" s="14">
        <v>15</v>
      </c>
      <c r="B22" s="63" t="s">
        <v>28</v>
      </c>
      <c r="C22" s="64"/>
      <c r="D22" s="64"/>
      <c r="E22" s="65"/>
      <c r="F22" s="15" t="s">
        <v>10</v>
      </c>
      <c r="G22" s="16">
        <v>1</v>
      </c>
      <c r="H22" s="42" t="s">
        <v>29</v>
      </c>
      <c r="I22" s="53">
        <v>55</v>
      </c>
      <c r="J22" s="17">
        <f t="shared" si="0"/>
        <v>55</v>
      </c>
    </row>
    <row r="23" spans="1:10" s="19" customFormat="1" ht="22" customHeight="1" thickBot="1">
      <c r="A23" s="14">
        <v>16</v>
      </c>
      <c r="B23" s="63" t="s">
        <v>30</v>
      </c>
      <c r="C23" s="64"/>
      <c r="D23" s="64"/>
      <c r="E23" s="65"/>
      <c r="F23" s="15" t="s">
        <v>10</v>
      </c>
      <c r="G23" s="16">
        <v>1</v>
      </c>
      <c r="H23" s="42" t="s">
        <v>11</v>
      </c>
      <c r="I23" s="53">
        <v>650</v>
      </c>
      <c r="J23" s="17">
        <f t="shared" si="0"/>
        <v>650</v>
      </c>
    </row>
    <row r="24" spans="1:10" s="19" customFormat="1" ht="22" customHeight="1" thickBot="1">
      <c r="A24" s="14">
        <v>17</v>
      </c>
      <c r="B24" s="63" t="s">
        <v>31</v>
      </c>
      <c r="C24" s="64"/>
      <c r="D24" s="64"/>
      <c r="E24" s="65"/>
      <c r="F24" s="15" t="s">
        <v>10</v>
      </c>
      <c r="G24" s="16">
        <v>1</v>
      </c>
      <c r="H24" s="42" t="s">
        <v>11</v>
      </c>
      <c r="I24" s="53">
        <v>800</v>
      </c>
      <c r="J24" s="17">
        <f t="shared" si="0"/>
        <v>800</v>
      </c>
    </row>
    <row r="25" spans="1:10" s="19" customFormat="1" ht="22" customHeight="1" thickBot="1">
      <c r="A25" s="14">
        <v>18</v>
      </c>
      <c r="B25" s="63" t="s">
        <v>32</v>
      </c>
      <c r="C25" s="64"/>
      <c r="D25" s="64"/>
      <c r="E25" s="65"/>
      <c r="F25" s="15" t="s">
        <v>10</v>
      </c>
      <c r="G25" s="16">
        <v>1</v>
      </c>
      <c r="H25" s="42" t="s">
        <v>11</v>
      </c>
      <c r="I25" s="53">
        <v>1400</v>
      </c>
      <c r="J25" s="17">
        <f t="shared" si="0"/>
        <v>1400</v>
      </c>
    </row>
    <row r="26" spans="1:10" s="19" customFormat="1" ht="22" customHeight="1" thickBot="1">
      <c r="A26" s="14">
        <v>19</v>
      </c>
      <c r="B26" s="63" t="s">
        <v>33</v>
      </c>
      <c r="C26" s="64"/>
      <c r="D26" s="64"/>
      <c r="E26" s="65"/>
      <c r="F26" s="15" t="s">
        <v>10</v>
      </c>
      <c r="G26" s="16">
        <v>1</v>
      </c>
      <c r="H26" s="42" t="s">
        <v>11</v>
      </c>
      <c r="I26" s="53">
        <v>4500</v>
      </c>
      <c r="J26" s="17">
        <f t="shared" si="0"/>
        <v>4500</v>
      </c>
    </row>
    <row r="27" spans="1:10" s="19" customFormat="1" ht="22" customHeight="1" thickBot="1">
      <c r="A27" s="14">
        <v>20</v>
      </c>
      <c r="B27" s="63" t="s">
        <v>34</v>
      </c>
      <c r="C27" s="64"/>
      <c r="D27" s="64"/>
      <c r="E27" s="65"/>
      <c r="F27" s="15" t="s">
        <v>10</v>
      </c>
      <c r="G27" s="16">
        <v>1</v>
      </c>
      <c r="H27" s="42" t="s">
        <v>11</v>
      </c>
      <c r="I27" s="53">
        <v>750</v>
      </c>
      <c r="J27" s="17">
        <f t="shared" si="0"/>
        <v>750</v>
      </c>
    </row>
    <row r="28" spans="1:10" s="19" customFormat="1" ht="22" customHeight="1" thickBot="1">
      <c r="A28" s="14">
        <v>21</v>
      </c>
      <c r="B28" s="63" t="s">
        <v>35</v>
      </c>
      <c r="C28" s="64"/>
      <c r="D28" s="64"/>
      <c r="E28" s="65"/>
      <c r="F28" s="15" t="s">
        <v>10</v>
      </c>
      <c r="G28" s="16">
        <v>1</v>
      </c>
      <c r="H28" s="42" t="s">
        <v>36</v>
      </c>
      <c r="I28" s="53">
        <v>92</v>
      </c>
      <c r="J28" s="17">
        <f t="shared" si="0"/>
        <v>92</v>
      </c>
    </row>
    <row r="29" spans="1:10" s="19" customFormat="1" ht="23.15" customHeight="1" thickBot="1">
      <c r="A29" s="14">
        <v>22</v>
      </c>
      <c r="B29" s="63" t="s">
        <v>37</v>
      </c>
      <c r="C29" s="64"/>
      <c r="D29" s="64"/>
      <c r="E29" s="65"/>
      <c r="F29" s="15" t="s">
        <v>10</v>
      </c>
      <c r="G29" s="16">
        <v>1</v>
      </c>
      <c r="H29" s="42" t="s">
        <v>29</v>
      </c>
      <c r="I29" s="53">
        <v>150</v>
      </c>
      <c r="J29" s="17">
        <f t="shared" si="0"/>
        <v>150</v>
      </c>
    </row>
    <row r="30" spans="1:10" s="19" customFormat="1" ht="23.15" customHeight="1" thickBot="1">
      <c r="A30" s="14">
        <v>23</v>
      </c>
      <c r="B30" s="63" t="s">
        <v>38</v>
      </c>
      <c r="C30" s="64"/>
      <c r="D30" s="64"/>
      <c r="E30" s="65"/>
      <c r="F30" s="15" t="s">
        <v>10</v>
      </c>
      <c r="G30" s="16">
        <v>1</v>
      </c>
      <c r="H30" s="42" t="s">
        <v>29</v>
      </c>
      <c r="I30" s="53">
        <v>130</v>
      </c>
      <c r="J30" s="17">
        <f t="shared" si="0"/>
        <v>130</v>
      </c>
    </row>
    <row r="31" spans="1:10" s="19" customFormat="1" ht="22" customHeight="1" thickBot="1">
      <c r="A31" s="14">
        <v>24</v>
      </c>
      <c r="B31" s="63" t="s">
        <v>39</v>
      </c>
      <c r="C31" s="64"/>
      <c r="D31" s="64"/>
      <c r="E31" s="65"/>
      <c r="F31" s="15" t="s">
        <v>10</v>
      </c>
      <c r="G31" s="16">
        <v>1</v>
      </c>
      <c r="H31" s="42" t="s">
        <v>29</v>
      </c>
      <c r="I31" s="53">
        <v>250</v>
      </c>
      <c r="J31" s="17">
        <f t="shared" si="0"/>
        <v>250</v>
      </c>
    </row>
    <row r="32" spans="1:10" s="19" customFormat="1" ht="22" customHeight="1" thickBot="1">
      <c r="A32" s="14">
        <v>25</v>
      </c>
      <c r="B32" s="63" t="s">
        <v>40</v>
      </c>
      <c r="C32" s="64"/>
      <c r="D32" s="64"/>
      <c r="E32" s="65"/>
      <c r="F32" s="15" t="s">
        <v>10</v>
      </c>
      <c r="G32" s="16">
        <v>1</v>
      </c>
      <c r="H32" s="42" t="s">
        <v>29</v>
      </c>
      <c r="I32" s="53">
        <v>70</v>
      </c>
      <c r="J32" s="17">
        <f t="shared" si="0"/>
        <v>70</v>
      </c>
    </row>
    <row r="33" spans="1:10" s="19" customFormat="1" ht="22" customHeight="1" thickBot="1">
      <c r="A33" s="14">
        <v>26</v>
      </c>
      <c r="B33" s="63" t="s">
        <v>41</v>
      </c>
      <c r="C33" s="64"/>
      <c r="D33" s="64"/>
      <c r="E33" s="65"/>
      <c r="F33" s="15" t="s">
        <v>10</v>
      </c>
      <c r="G33" s="16">
        <v>1</v>
      </c>
      <c r="H33" s="42" t="s">
        <v>29</v>
      </c>
      <c r="I33" s="53">
        <v>125</v>
      </c>
      <c r="J33" s="17">
        <f t="shared" si="0"/>
        <v>125</v>
      </c>
    </row>
    <row r="34" spans="1:10" s="19" customFormat="1" ht="22" customHeight="1" thickBot="1">
      <c r="A34" s="14">
        <v>27</v>
      </c>
      <c r="B34" s="63" t="s">
        <v>42</v>
      </c>
      <c r="C34" s="64"/>
      <c r="D34" s="64"/>
      <c r="E34" s="65"/>
      <c r="F34" s="15" t="s">
        <v>10</v>
      </c>
      <c r="G34" s="16">
        <v>1</v>
      </c>
      <c r="H34" s="42" t="s">
        <v>29</v>
      </c>
      <c r="I34" s="53">
        <v>350</v>
      </c>
      <c r="J34" s="17">
        <f t="shared" si="0"/>
        <v>350</v>
      </c>
    </row>
    <row r="35" spans="1:10" s="19" customFormat="1" ht="22" customHeight="1" thickBot="1">
      <c r="A35" s="14">
        <v>28</v>
      </c>
      <c r="B35" s="63" t="s">
        <v>43</v>
      </c>
      <c r="C35" s="64"/>
      <c r="D35" s="64"/>
      <c r="E35" s="65"/>
      <c r="F35" s="15" t="s">
        <v>10</v>
      </c>
      <c r="G35" s="16">
        <v>1</v>
      </c>
      <c r="H35" s="40" t="s">
        <v>29</v>
      </c>
      <c r="I35" s="53">
        <v>15</v>
      </c>
      <c r="J35" s="17">
        <f t="shared" si="0"/>
        <v>15</v>
      </c>
    </row>
    <row r="36" spans="1:10" s="19" customFormat="1" ht="23.15" customHeight="1" thickBot="1">
      <c r="A36" s="14">
        <v>29</v>
      </c>
      <c r="B36" s="63" t="s">
        <v>44</v>
      </c>
      <c r="C36" s="64"/>
      <c r="D36" s="64"/>
      <c r="E36" s="65"/>
      <c r="F36" s="15" t="s">
        <v>10</v>
      </c>
      <c r="G36" s="16">
        <v>1</v>
      </c>
      <c r="H36" s="40" t="s">
        <v>29</v>
      </c>
      <c r="I36" s="53">
        <v>125</v>
      </c>
      <c r="J36" s="17">
        <f t="shared" si="0"/>
        <v>125</v>
      </c>
    </row>
    <row r="37" spans="1:10" s="19" customFormat="1" ht="23.15" customHeight="1" thickBot="1">
      <c r="A37" s="14">
        <v>30</v>
      </c>
      <c r="B37" s="63" t="s">
        <v>45</v>
      </c>
      <c r="C37" s="64"/>
      <c r="D37" s="64"/>
      <c r="E37" s="65"/>
      <c r="F37" s="15" t="s">
        <v>10</v>
      </c>
      <c r="G37" s="16">
        <v>1</v>
      </c>
      <c r="H37" s="40" t="s">
        <v>29</v>
      </c>
      <c r="I37" s="53">
        <v>75</v>
      </c>
      <c r="J37" s="17">
        <f t="shared" si="0"/>
        <v>75</v>
      </c>
    </row>
    <row r="38" spans="1:10" s="19" customFormat="1" ht="22" customHeight="1" thickBot="1">
      <c r="A38" s="14">
        <v>31</v>
      </c>
      <c r="B38" s="63" t="s">
        <v>46</v>
      </c>
      <c r="C38" s="64"/>
      <c r="D38" s="64"/>
      <c r="E38" s="65"/>
      <c r="F38" s="15" t="s">
        <v>10</v>
      </c>
      <c r="G38" s="16">
        <v>1</v>
      </c>
      <c r="H38" s="40" t="s">
        <v>29</v>
      </c>
      <c r="I38" s="53">
        <v>25</v>
      </c>
      <c r="J38" s="17">
        <f t="shared" si="0"/>
        <v>25</v>
      </c>
    </row>
    <row r="39" spans="1:10" s="19" customFormat="1" ht="22" customHeight="1" thickBot="1">
      <c r="A39" s="14">
        <v>32</v>
      </c>
      <c r="B39" s="63" t="s">
        <v>47</v>
      </c>
      <c r="C39" s="64"/>
      <c r="D39" s="64"/>
      <c r="E39" s="65"/>
      <c r="F39" s="15" t="s">
        <v>10</v>
      </c>
      <c r="G39" s="16">
        <v>1</v>
      </c>
      <c r="H39" s="40" t="s">
        <v>29</v>
      </c>
      <c r="I39" s="53">
        <v>35</v>
      </c>
      <c r="J39" s="17">
        <f t="shared" si="0"/>
        <v>35</v>
      </c>
    </row>
    <row r="40" spans="1:10" s="19" customFormat="1" ht="22" customHeight="1" thickBot="1">
      <c r="A40" s="14">
        <v>33</v>
      </c>
      <c r="B40" s="63" t="s">
        <v>48</v>
      </c>
      <c r="C40" s="64"/>
      <c r="D40" s="64"/>
      <c r="E40" s="65"/>
      <c r="F40" s="15" t="s">
        <v>10</v>
      </c>
      <c r="G40" s="16">
        <v>1</v>
      </c>
      <c r="H40" s="40" t="s">
        <v>29</v>
      </c>
      <c r="I40" s="53">
        <v>30</v>
      </c>
      <c r="J40" s="17">
        <f t="shared" ref="J40:J56" si="1">I40*G40</f>
        <v>30</v>
      </c>
    </row>
    <row r="41" spans="1:10" s="19" customFormat="1" ht="22" customHeight="1" thickBot="1">
      <c r="A41" s="14">
        <v>34</v>
      </c>
      <c r="B41" s="63" t="s">
        <v>49</v>
      </c>
      <c r="C41" s="64"/>
      <c r="D41" s="64"/>
      <c r="E41" s="65"/>
      <c r="F41" s="15" t="s">
        <v>10</v>
      </c>
      <c r="G41" s="16">
        <v>1</v>
      </c>
      <c r="H41" s="40" t="s">
        <v>29</v>
      </c>
      <c r="I41" s="53">
        <v>220</v>
      </c>
      <c r="J41" s="17">
        <f t="shared" si="1"/>
        <v>220</v>
      </c>
    </row>
    <row r="42" spans="1:10" s="19" customFormat="1" ht="22" customHeight="1" thickBot="1">
      <c r="A42" s="14">
        <v>35</v>
      </c>
      <c r="B42" s="63" t="s">
        <v>50</v>
      </c>
      <c r="C42" s="64"/>
      <c r="D42" s="64"/>
      <c r="E42" s="65"/>
      <c r="F42" s="15" t="s">
        <v>10</v>
      </c>
      <c r="G42" s="16">
        <v>1</v>
      </c>
      <c r="H42" s="40" t="s">
        <v>29</v>
      </c>
      <c r="I42" s="55">
        <v>95</v>
      </c>
      <c r="J42" s="17">
        <f t="shared" si="1"/>
        <v>95</v>
      </c>
    </row>
    <row r="43" spans="1:10" s="19" customFormat="1" ht="22" customHeight="1" thickBot="1">
      <c r="A43" s="14">
        <v>36</v>
      </c>
      <c r="B43" s="63" t="s">
        <v>51</v>
      </c>
      <c r="C43" s="64"/>
      <c r="D43" s="64"/>
      <c r="E43" s="65"/>
      <c r="F43" s="15" t="s">
        <v>10</v>
      </c>
      <c r="G43" s="16">
        <v>1</v>
      </c>
      <c r="H43" s="40" t="s">
        <v>52</v>
      </c>
      <c r="I43" s="56">
        <v>220</v>
      </c>
      <c r="J43" s="17">
        <f t="shared" si="1"/>
        <v>220</v>
      </c>
    </row>
    <row r="44" spans="1:10" s="19" customFormat="1" ht="23.15" customHeight="1" thickBot="1">
      <c r="A44" s="14">
        <v>37</v>
      </c>
      <c r="B44" s="63" t="s">
        <v>53</v>
      </c>
      <c r="C44" s="64"/>
      <c r="D44" s="64"/>
      <c r="E44" s="65"/>
      <c r="F44" s="15" t="s">
        <v>10</v>
      </c>
      <c r="G44" s="16">
        <v>1</v>
      </c>
      <c r="H44" s="40" t="s">
        <v>29</v>
      </c>
      <c r="I44" s="56">
        <v>95</v>
      </c>
      <c r="J44" s="17">
        <f t="shared" si="1"/>
        <v>95</v>
      </c>
    </row>
    <row r="45" spans="1:10" s="19" customFormat="1" ht="23.15" customHeight="1" thickBot="1">
      <c r="A45" s="14">
        <v>38</v>
      </c>
      <c r="B45" s="63" t="s">
        <v>54</v>
      </c>
      <c r="C45" s="64"/>
      <c r="D45" s="64"/>
      <c r="E45" s="65"/>
      <c r="F45" s="15" t="s">
        <v>10</v>
      </c>
      <c r="G45" s="16">
        <v>1</v>
      </c>
      <c r="H45" s="40" t="s">
        <v>23</v>
      </c>
      <c r="I45" s="56">
        <v>90</v>
      </c>
      <c r="J45" s="17">
        <f t="shared" si="1"/>
        <v>90</v>
      </c>
    </row>
    <row r="46" spans="1:10" s="19" customFormat="1" ht="22" customHeight="1" thickBot="1">
      <c r="A46" s="14">
        <v>39</v>
      </c>
      <c r="B46" s="63" t="s">
        <v>31</v>
      </c>
      <c r="C46" s="64"/>
      <c r="D46" s="64"/>
      <c r="E46" s="65"/>
      <c r="F46" s="15" t="s">
        <v>10</v>
      </c>
      <c r="G46" s="16">
        <v>1</v>
      </c>
      <c r="H46" s="40" t="s">
        <v>29</v>
      </c>
      <c r="I46" s="56">
        <v>45</v>
      </c>
      <c r="J46" s="17">
        <f t="shared" si="1"/>
        <v>45</v>
      </c>
    </row>
    <row r="47" spans="1:10" s="19" customFormat="1" ht="22" customHeight="1" thickBot="1">
      <c r="A47" s="14">
        <v>40</v>
      </c>
      <c r="B47" s="63" t="s">
        <v>55</v>
      </c>
      <c r="C47" s="64"/>
      <c r="D47" s="64"/>
      <c r="E47" s="65"/>
      <c r="F47" s="15" t="s">
        <v>10</v>
      </c>
      <c r="G47" s="16">
        <v>1</v>
      </c>
      <c r="H47" s="40" t="s">
        <v>29</v>
      </c>
      <c r="I47" s="57">
        <v>135</v>
      </c>
      <c r="J47" s="17">
        <f t="shared" si="1"/>
        <v>135</v>
      </c>
    </row>
    <row r="48" spans="1:10" s="19" customFormat="1" ht="22" customHeight="1" thickBot="1">
      <c r="A48" s="14">
        <v>41</v>
      </c>
      <c r="B48" s="63" t="s">
        <v>56</v>
      </c>
      <c r="C48" s="64"/>
      <c r="D48" s="64"/>
      <c r="E48" s="65"/>
      <c r="F48" s="15" t="s">
        <v>10</v>
      </c>
      <c r="G48" s="16">
        <v>1</v>
      </c>
      <c r="H48" s="40" t="s">
        <v>36</v>
      </c>
      <c r="I48" s="57">
        <v>195</v>
      </c>
      <c r="J48" s="17">
        <f t="shared" si="1"/>
        <v>195</v>
      </c>
    </row>
    <row r="49" spans="1:13" s="19" customFormat="1" ht="22" customHeight="1" thickBot="1">
      <c r="A49" s="14">
        <v>42</v>
      </c>
      <c r="B49" s="63" t="s">
        <v>57</v>
      </c>
      <c r="C49" s="64"/>
      <c r="D49" s="64"/>
      <c r="E49" s="65"/>
      <c r="F49" s="15" t="s">
        <v>10</v>
      </c>
      <c r="G49" s="16">
        <v>1</v>
      </c>
      <c r="H49" s="40" t="s">
        <v>29</v>
      </c>
      <c r="I49" s="54">
        <v>50</v>
      </c>
      <c r="J49" s="17">
        <f t="shared" si="1"/>
        <v>50</v>
      </c>
    </row>
    <row r="50" spans="1:13" s="19" customFormat="1" ht="23.15" customHeight="1" thickBot="1">
      <c r="A50" s="14">
        <v>43</v>
      </c>
      <c r="B50" s="63" t="s">
        <v>58</v>
      </c>
      <c r="C50" s="64"/>
      <c r="D50" s="64"/>
      <c r="E50" s="65"/>
      <c r="F50" s="15" t="s">
        <v>10</v>
      </c>
      <c r="G50" s="16">
        <v>1</v>
      </c>
      <c r="H50" s="40" t="s">
        <v>29</v>
      </c>
      <c r="I50" s="53">
        <v>65</v>
      </c>
      <c r="J50" s="17">
        <f t="shared" si="1"/>
        <v>65</v>
      </c>
    </row>
    <row r="51" spans="1:13" s="19" customFormat="1" ht="23.15" customHeight="1" thickBot="1">
      <c r="A51" s="14">
        <v>44</v>
      </c>
      <c r="B51" s="63" t="s">
        <v>59</v>
      </c>
      <c r="C51" s="64"/>
      <c r="D51" s="64"/>
      <c r="E51" s="65"/>
      <c r="F51" s="15" t="s">
        <v>10</v>
      </c>
      <c r="G51" s="16">
        <v>1</v>
      </c>
      <c r="H51" s="40" t="s">
        <v>29</v>
      </c>
      <c r="I51" s="53">
        <v>9</v>
      </c>
      <c r="J51" s="17">
        <f t="shared" si="1"/>
        <v>9</v>
      </c>
    </row>
    <row r="52" spans="1:13" s="19" customFormat="1" ht="22" customHeight="1" thickBot="1">
      <c r="A52" s="14">
        <v>45</v>
      </c>
      <c r="B52" s="63" t="s">
        <v>60</v>
      </c>
      <c r="C52" s="64"/>
      <c r="D52" s="64"/>
      <c r="E52" s="65"/>
      <c r="F52" s="15" t="s">
        <v>10</v>
      </c>
      <c r="G52" s="16">
        <v>1</v>
      </c>
      <c r="H52" s="40" t="s">
        <v>25</v>
      </c>
      <c r="I52" s="53">
        <v>50</v>
      </c>
      <c r="J52" s="17">
        <f t="shared" si="1"/>
        <v>50</v>
      </c>
    </row>
    <row r="53" spans="1:13" s="19" customFormat="1" ht="22" customHeight="1" thickBot="1">
      <c r="A53" s="14">
        <v>46</v>
      </c>
      <c r="B53" s="63" t="s">
        <v>61</v>
      </c>
      <c r="C53" s="64"/>
      <c r="D53" s="64"/>
      <c r="E53" s="65"/>
      <c r="F53" s="15" t="s">
        <v>10</v>
      </c>
      <c r="G53" s="16">
        <v>1</v>
      </c>
      <c r="H53" s="40" t="s">
        <v>23</v>
      </c>
      <c r="I53" s="53">
        <v>780</v>
      </c>
      <c r="J53" s="17">
        <f t="shared" si="1"/>
        <v>780</v>
      </c>
    </row>
    <row r="54" spans="1:13" s="19" customFormat="1" ht="22" customHeight="1" thickBot="1">
      <c r="A54" s="14">
        <v>47</v>
      </c>
      <c r="B54" s="63" t="s">
        <v>62</v>
      </c>
      <c r="C54" s="64"/>
      <c r="D54" s="64"/>
      <c r="E54" s="65"/>
      <c r="F54" s="15" t="s">
        <v>10</v>
      </c>
      <c r="G54" s="16">
        <v>1</v>
      </c>
      <c r="H54" s="40" t="s">
        <v>29</v>
      </c>
      <c r="I54" s="53">
        <v>700</v>
      </c>
      <c r="J54" s="17">
        <f t="shared" si="1"/>
        <v>700</v>
      </c>
    </row>
    <row r="55" spans="1:13" s="19" customFormat="1" ht="22" customHeight="1" thickBot="1">
      <c r="A55" s="14">
        <v>48</v>
      </c>
      <c r="B55" s="63" t="s">
        <v>59</v>
      </c>
      <c r="C55" s="64"/>
      <c r="D55" s="64"/>
      <c r="E55" s="65"/>
      <c r="F55" s="15" t="s">
        <v>10</v>
      </c>
      <c r="G55" s="16">
        <v>1</v>
      </c>
      <c r="H55" s="40" t="s">
        <v>25</v>
      </c>
      <c r="I55" s="53">
        <v>45</v>
      </c>
      <c r="J55" s="17">
        <f t="shared" si="1"/>
        <v>45</v>
      </c>
    </row>
    <row r="56" spans="1:13" s="19" customFormat="1" ht="22" customHeight="1" thickBot="1">
      <c r="A56" s="14">
        <v>49</v>
      </c>
      <c r="B56" s="63" t="s">
        <v>46</v>
      </c>
      <c r="C56" s="64"/>
      <c r="D56" s="64"/>
      <c r="E56" s="65"/>
      <c r="F56" s="15" t="s">
        <v>10</v>
      </c>
      <c r="G56" s="16">
        <v>1</v>
      </c>
      <c r="H56" s="40" t="s">
        <v>63</v>
      </c>
      <c r="I56" s="53">
        <v>28</v>
      </c>
      <c r="J56" s="17">
        <f t="shared" si="1"/>
        <v>28</v>
      </c>
    </row>
    <row r="57" spans="1:13" ht="14">
      <c r="A57" s="76" t="s">
        <v>64</v>
      </c>
      <c r="B57" s="77"/>
      <c r="C57" s="77"/>
      <c r="D57" s="77"/>
      <c r="E57" s="77"/>
      <c r="F57" s="77"/>
      <c r="G57" s="77"/>
      <c r="H57" s="77"/>
      <c r="I57" s="18"/>
      <c r="J57" s="20"/>
    </row>
    <row r="58" spans="1:13" ht="14">
      <c r="A58" s="78" t="s">
        <v>65</v>
      </c>
      <c r="B58" s="79"/>
      <c r="C58" s="79"/>
      <c r="D58" s="79"/>
      <c r="E58" s="79"/>
      <c r="F58" s="79"/>
      <c r="G58" s="79"/>
      <c r="H58" s="79"/>
      <c r="I58" s="18"/>
      <c r="J58" s="20"/>
      <c r="M58" s="21"/>
    </row>
    <row r="59" spans="1:13" ht="14">
      <c r="A59" s="78" t="s">
        <v>66</v>
      </c>
      <c r="B59" s="79"/>
      <c r="C59" s="79"/>
      <c r="D59" s="79"/>
      <c r="E59" s="79"/>
      <c r="F59" s="79"/>
      <c r="G59" s="79"/>
      <c r="H59" s="79"/>
      <c r="I59" s="18"/>
      <c r="J59" s="20"/>
    </row>
    <row r="60" spans="1:13" s="24" customFormat="1" ht="14.5" thickBot="1">
      <c r="A60" s="96" t="s">
        <v>67</v>
      </c>
      <c r="B60" s="97"/>
      <c r="C60" s="97"/>
      <c r="D60" s="97"/>
      <c r="E60" s="97"/>
      <c r="F60" s="97"/>
      <c r="G60" s="97"/>
      <c r="H60" s="97"/>
      <c r="I60" s="23"/>
      <c r="J60" s="22"/>
    </row>
    <row r="61" spans="1:13" ht="21" customHeight="1" thickBot="1">
      <c r="A61" s="25" t="s">
        <v>68</v>
      </c>
      <c r="B61" s="26"/>
      <c r="C61" s="26"/>
      <c r="D61" s="27" t="s">
        <v>69</v>
      </c>
      <c r="E61" s="27"/>
      <c r="F61" s="27"/>
      <c r="G61" s="28"/>
      <c r="H61" s="29" t="s">
        <v>70</v>
      </c>
      <c r="I61" s="86">
        <f>SUM(J8:J60)</f>
        <v>23119</v>
      </c>
      <c r="J61" s="87"/>
    </row>
    <row r="62" spans="1:13" ht="14.5" customHeight="1" thickBot="1">
      <c r="A62" s="30" t="s">
        <v>71</v>
      </c>
      <c r="B62" s="3"/>
      <c r="C62" s="83" t="s">
        <v>72</v>
      </c>
      <c r="D62" s="83"/>
      <c r="E62" s="83"/>
      <c r="F62" s="83"/>
      <c r="G62" s="83"/>
      <c r="H62" s="29" t="s">
        <v>73</v>
      </c>
      <c r="I62" s="88">
        <f>I61/23.8249981</f>
        <v>970.36733866518136</v>
      </c>
      <c r="J62" s="89"/>
    </row>
    <row r="63" spans="1:13" ht="13" thickBot="1">
      <c r="A63" s="82" t="s">
        <v>74</v>
      </c>
      <c r="B63" s="82"/>
      <c r="C63" s="82"/>
      <c r="D63" s="82"/>
      <c r="E63" s="82"/>
      <c r="F63" s="82"/>
      <c r="G63" s="82"/>
      <c r="H63" s="29" t="s">
        <v>75</v>
      </c>
      <c r="I63" s="90" t="s">
        <v>76</v>
      </c>
      <c r="J63" s="91"/>
    </row>
    <row r="64" spans="1:13" ht="13" thickBot="1">
      <c r="A64" s="82" t="s">
        <v>77</v>
      </c>
      <c r="B64" s="82"/>
      <c r="C64" s="82"/>
      <c r="D64" s="82"/>
      <c r="E64" s="82"/>
      <c r="F64" s="82"/>
      <c r="G64" s="82"/>
      <c r="H64" s="29" t="s">
        <v>78</v>
      </c>
      <c r="I64" s="92" t="s">
        <v>76</v>
      </c>
      <c r="J64" s="93"/>
    </row>
    <row r="65" spans="1:10" ht="13" thickBot="1">
      <c r="A65" s="82" t="s">
        <v>79</v>
      </c>
      <c r="B65" s="82"/>
      <c r="C65" s="82"/>
      <c r="D65" s="82"/>
      <c r="E65" s="82"/>
      <c r="F65" s="82"/>
      <c r="G65" s="82"/>
      <c r="H65" s="29" t="s">
        <v>80</v>
      </c>
      <c r="I65" s="94" t="s">
        <v>81</v>
      </c>
      <c r="J65" s="95"/>
    </row>
    <row r="66" spans="1:10" ht="13">
      <c r="A66" s="82" t="s">
        <v>82</v>
      </c>
      <c r="B66" s="82"/>
      <c r="C66" s="82"/>
      <c r="D66" s="82"/>
      <c r="E66" s="82"/>
      <c r="F66" s="82"/>
      <c r="G66" s="82"/>
      <c r="H66" s="32"/>
      <c r="I66" s="47"/>
      <c r="J66" s="48"/>
    </row>
    <row r="67" spans="1:10" ht="8.25" customHeight="1">
      <c r="A67" s="25"/>
      <c r="B67" s="25"/>
      <c r="C67" s="25"/>
      <c r="D67" s="32"/>
      <c r="E67" s="32"/>
      <c r="F67" s="33"/>
      <c r="G67" s="31"/>
      <c r="H67" s="32"/>
      <c r="I67" s="47"/>
      <c r="J67" s="48"/>
    </row>
    <row r="68" spans="1:10" ht="13">
      <c r="A68" s="34" t="s">
        <v>83</v>
      </c>
      <c r="B68" s="34"/>
      <c r="C68" s="34"/>
      <c r="D68" s="34"/>
      <c r="F68" s="34"/>
      <c r="G68" s="34" t="s">
        <v>84</v>
      </c>
      <c r="I68" s="3"/>
    </row>
    <row r="69" spans="1:10" s="35" customFormat="1" ht="36.75" customHeight="1">
      <c r="A69" s="35" t="s">
        <v>85</v>
      </c>
      <c r="B69" s="34"/>
      <c r="C69" s="34"/>
      <c r="D69" s="81"/>
      <c r="E69" s="81"/>
      <c r="F69" s="81"/>
      <c r="G69" s="81" t="s">
        <v>86</v>
      </c>
      <c r="H69" s="81"/>
      <c r="I69" s="36"/>
      <c r="J69" s="58"/>
    </row>
    <row r="70" spans="1:10" s="26" customFormat="1">
      <c r="A70" s="37"/>
      <c r="B70" s="37"/>
      <c r="C70" s="37"/>
      <c r="D70" s="37"/>
      <c r="F70" s="37"/>
      <c r="G70" s="37"/>
      <c r="I70" s="37"/>
      <c r="J70" s="49"/>
    </row>
    <row r="71" spans="1:10" s="26" customFormat="1">
      <c r="A71" s="37" t="s">
        <v>87</v>
      </c>
      <c r="B71" s="37"/>
      <c r="C71" s="37"/>
      <c r="D71" s="38"/>
      <c r="F71" s="37"/>
      <c r="G71" s="38" t="s">
        <v>87</v>
      </c>
      <c r="I71" s="37"/>
      <c r="J71" s="49"/>
    </row>
    <row r="72" spans="1:10" s="26" customFormat="1">
      <c r="A72" s="37"/>
      <c r="B72" s="37"/>
      <c r="C72" s="37"/>
      <c r="D72" s="37"/>
      <c r="F72" s="37"/>
      <c r="G72" s="37"/>
      <c r="I72" s="37"/>
      <c r="J72" s="49"/>
    </row>
    <row r="73" spans="1:10" s="26" customFormat="1">
      <c r="A73" s="38" t="s">
        <v>88</v>
      </c>
      <c r="B73" s="37"/>
      <c r="C73" s="37"/>
      <c r="D73" s="38"/>
      <c r="F73" s="37"/>
      <c r="G73" s="38" t="s">
        <v>89</v>
      </c>
      <c r="I73" s="37"/>
      <c r="J73" s="49"/>
    </row>
    <row r="74" spans="1:10" s="26" customFormat="1">
      <c r="A74" s="37"/>
      <c r="B74" s="37"/>
      <c r="C74" s="37"/>
      <c r="D74" s="37"/>
      <c r="F74" s="37"/>
      <c r="G74" s="37"/>
      <c r="I74" s="37"/>
      <c r="J74" s="49"/>
    </row>
    <row r="75" spans="1:10" s="26" customFormat="1">
      <c r="A75" s="38" t="s">
        <v>90</v>
      </c>
      <c r="B75" s="37"/>
      <c r="C75" s="37"/>
      <c r="D75" s="38"/>
      <c r="F75" s="37"/>
      <c r="G75" s="38" t="s">
        <v>91</v>
      </c>
      <c r="I75" s="37"/>
      <c r="J75" s="49"/>
    </row>
    <row r="76" spans="1:10" s="26" customFormat="1" ht="13">
      <c r="A76" s="34"/>
      <c r="B76" s="34"/>
      <c r="C76" s="34"/>
      <c r="D76" s="34"/>
      <c r="E76" s="34"/>
      <c r="F76" s="39"/>
      <c r="G76" s="34"/>
      <c r="H76" s="34"/>
      <c r="I76" s="50"/>
      <c r="J76" s="51"/>
    </row>
    <row r="78" spans="1:10" ht="76" customHeight="1"/>
    <row r="80" spans="1:10" ht="13">
      <c r="A80" s="62" t="s">
        <v>92</v>
      </c>
      <c r="B80" s="62"/>
      <c r="C80" s="62"/>
      <c r="D80" s="62"/>
      <c r="E80" s="62"/>
      <c r="F80" s="62"/>
      <c r="G80" s="62"/>
      <c r="I80" s="52" t="s">
        <v>93</v>
      </c>
    </row>
    <row r="81" spans="1:9" ht="13">
      <c r="A81" s="62"/>
      <c r="B81" s="62"/>
      <c r="C81" s="62"/>
      <c r="D81" s="62"/>
      <c r="E81" s="62"/>
      <c r="F81" s="62"/>
      <c r="G81" s="62"/>
      <c r="I81" s="59"/>
    </row>
    <row r="82" spans="1:9">
      <c r="A82" s="62" t="s">
        <v>94</v>
      </c>
      <c r="B82" s="62"/>
      <c r="C82" s="62"/>
      <c r="D82" s="62"/>
      <c r="E82" s="62"/>
      <c r="F82" s="62"/>
      <c r="G82" s="62"/>
      <c r="I82" s="60">
        <v>44204</v>
      </c>
    </row>
    <row r="83" spans="1:9">
      <c r="A83" s="62"/>
      <c r="B83" s="62"/>
      <c r="C83" s="62"/>
      <c r="D83" s="62"/>
      <c r="E83" s="62"/>
      <c r="F83" s="62"/>
      <c r="G83" s="62"/>
      <c r="I83" s="59"/>
    </row>
    <row r="84" spans="1:9" ht="13">
      <c r="A84" s="33"/>
      <c r="B84" s="33"/>
      <c r="C84" s="33"/>
      <c r="D84" s="30"/>
      <c r="E84" s="30"/>
      <c r="F84" s="33"/>
      <c r="G84" s="30"/>
      <c r="I84" s="59"/>
    </row>
    <row r="85" spans="1:9" ht="13">
      <c r="A85" s="62" t="s">
        <v>95</v>
      </c>
      <c r="B85" s="62"/>
      <c r="C85" s="62"/>
      <c r="D85" s="62"/>
      <c r="E85" s="62"/>
      <c r="F85" s="62"/>
      <c r="G85" s="62"/>
      <c r="I85" s="59"/>
    </row>
    <row r="86" spans="1:9" ht="13">
      <c r="A86" s="33"/>
      <c r="B86" s="33"/>
      <c r="C86" s="33"/>
      <c r="D86" s="30"/>
      <c r="E86" s="30"/>
      <c r="F86" s="33"/>
      <c r="G86" s="30"/>
      <c r="I86" s="59"/>
    </row>
  </sheetData>
  <mergeCells count="72">
    <mergeCell ref="A4:J5"/>
    <mergeCell ref="G69:H69"/>
    <mergeCell ref="A63:G63"/>
    <mergeCell ref="C62:G62"/>
    <mergeCell ref="A64:G64"/>
    <mergeCell ref="A65:G65"/>
    <mergeCell ref="A66:G66"/>
    <mergeCell ref="I6:J6"/>
    <mergeCell ref="I61:J61"/>
    <mergeCell ref="I62:J62"/>
    <mergeCell ref="I63:J63"/>
    <mergeCell ref="I64:J64"/>
    <mergeCell ref="I65:J65"/>
    <mergeCell ref="D69:F69"/>
    <mergeCell ref="B48:E48"/>
    <mergeCell ref="A60:H60"/>
    <mergeCell ref="A57:H57"/>
    <mergeCell ref="A58:H58"/>
    <mergeCell ref="A59:H59"/>
    <mergeCell ref="B43:E43"/>
    <mergeCell ref="B44:E44"/>
    <mergeCell ref="B45:E45"/>
    <mergeCell ref="B46:E46"/>
    <mergeCell ref="B47:E47"/>
    <mergeCell ref="B55:E55"/>
    <mergeCell ref="B56:E56"/>
    <mergeCell ref="B49:E49"/>
    <mergeCell ref="B50:E50"/>
    <mergeCell ref="B51:E51"/>
    <mergeCell ref="B52:E52"/>
    <mergeCell ref="B53:E53"/>
    <mergeCell ref="B54:E54"/>
    <mergeCell ref="B41:E41"/>
    <mergeCell ref="B42:E42"/>
    <mergeCell ref="B31:E31"/>
    <mergeCell ref="B32:E32"/>
    <mergeCell ref="B33:E33"/>
    <mergeCell ref="B34:E34"/>
    <mergeCell ref="B35:E35"/>
    <mergeCell ref="B36:E36"/>
    <mergeCell ref="B12:E12"/>
    <mergeCell ref="B25:E25"/>
    <mergeCell ref="B26:E26"/>
    <mergeCell ref="B27:E27"/>
    <mergeCell ref="B28:E28"/>
    <mergeCell ref="B19:E19"/>
    <mergeCell ref="B20:E20"/>
    <mergeCell ref="B21:E21"/>
    <mergeCell ref="B22:E22"/>
    <mergeCell ref="B23:E23"/>
    <mergeCell ref="B24:E24"/>
    <mergeCell ref="B7:E7"/>
    <mergeCell ref="B8:E8"/>
    <mergeCell ref="B9:E9"/>
    <mergeCell ref="B10:E10"/>
    <mergeCell ref="B11:E11"/>
    <mergeCell ref="A85:G85"/>
    <mergeCell ref="A82:G83"/>
    <mergeCell ref="A81:G81"/>
    <mergeCell ref="A80:G80"/>
    <mergeCell ref="B13:E13"/>
    <mergeCell ref="B14:E14"/>
    <mergeCell ref="B15:E15"/>
    <mergeCell ref="B16:E16"/>
    <mergeCell ref="B17:E17"/>
    <mergeCell ref="B18:E18"/>
    <mergeCell ref="B29:E29"/>
    <mergeCell ref="B30:E30"/>
    <mergeCell ref="B37:E37"/>
    <mergeCell ref="B38:E38"/>
    <mergeCell ref="B39:E39"/>
    <mergeCell ref="B40:E40"/>
  </mergeCells>
  <hyperlinks>
    <hyperlink ref="I65" r:id="rId1"/>
  </hyperlinks>
  <printOptions horizontalCentered="1"/>
  <pageMargins left="0.25" right="0.25" top="0.25" bottom="0.25" header="0.23622047244094499" footer="0.25"/>
  <pageSetup paperSize="9" scale="70" fitToHeight="0" orientation="landscape" r:id="rId2"/>
  <headerFooter alignWithMargins="0">
    <oddFooter>&amp;C&amp;"Arial,Italic"&amp;9Page &amp;P of &amp;N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1"/>
  <sheetViews>
    <sheetView zoomScale="60" zoomScaleNormal="60" workbookViewId="0">
      <pane xSplit="7" topLeftCell="H1" activePane="topRight" state="frozen"/>
      <selection pane="topRight" activeCell="D71" sqref="D71"/>
    </sheetView>
  </sheetViews>
  <sheetFormatPr defaultColWidth="9.1796875" defaultRowHeight="12.5"/>
  <cols>
    <col min="1" max="1" width="5.81640625" style="2" customWidth="1"/>
    <col min="2" max="2" width="10.1796875" style="2" customWidth="1"/>
    <col min="3" max="3" width="16.26953125" style="2" customWidth="1"/>
    <col min="4" max="4" width="8.54296875" style="3" customWidth="1"/>
    <col min="5" max="5" width="9.26953125" style="3" customWidth="1"/>
    <col min="6" max="6" width="16.54296875" style="2" customWidth="1"/>
    <col min="7" max="7" width="6.26953125" style="3" customWidth="1"/>
    <col min="8" max="8" width="12.7265625" style="3" customWidth="1"/>
    <col min="9" max="9" width="24.81640625" style="45" bestFit="1" customWidth="1"/>
    <col min="10" max="10" width="15.453125" style="46" bestFit="1" customWidth="1"/>
    <col min="11" max="12" width="9.1796875" style="3"/>
    <col min="13" max="13" width="14.1796875" style="3" bestFit="1" customWidth="1"/>
    <col min="14" max="16384" width="9.1796875" style="3"/>
  </cols>
  <sheetData>
    <row r="1" spans="1:10">
      <c r="A1" s="1"/>
    </row>
    <row r="2" spans="1:10" ht="44.25" customHeight="1"/>
    <row r="3" spans="1:10" ht="23.25" customHeight="1">
      <c r="A3" s="4"/>
    </row>
    <row r="4" spans="1:10" ht="3" customHeight="1">
      <c r="A4" s="80" t="s">
        <v>96</v>
      </c>
      <c r="B4" s="80"/>
      <c r="C4" s="80"/>
      <c r="D4" s="80"/>
      <c r="E4" s="80"/>
      <c r="F4" s="80"/>
      <c r="G4" s="80"/>
      <c r="H4" s="80"/>
      <c r="I4" s="80"/>
      <c r="J4" s="80"/>
    </row>
    <row r="5" spans="1:10" s="5" customFormat="1" ht="46.5" customHeight="1" thickBot="1">
      <c r="A5" s="80"/>
      <c r="B5" s="80"/>
      <c r="C5" s="80"/>
      <c r="D5" s="80"/>
      <c r="E5" s="80"/>
      <c r="F5" s="80"/>
      <c r="G5" s="80"/>
      <c r="H5" s="80"/>
      <c r="I5" s="80"/>
      <c r="J5" s="80"/>
    </row>
    <row r="6" spans="1:10" s="7" customFormat="1" ht="41.25" customHeight="1" thickBot="1">
      <c r="A6" s="6"/>
      <c r="B6" s="6"/>
      <c r="C6" s="6"/>
      <c r="I6" s="84" t="s">
        <v>97</v>
      </c>
      <c r="J6" s="85"/>
    </row>
    <row r="7" spans="1:10" s="13" customFormat="1" ht="26.5" thickBot="1">
      <c r="A7" s="8" t="s">
        <v>2</v>
      </c>
      <c r="B7" s="66" t="s">
        <v>3</v>
      </c>
      <c r="C7" s="67"/>
      <c r="D7" s="68"/>
      <c r="E7" s="69"/>
      <c r="F7" s="9" t="s">
        <v>4</v>
      </c>
      <c r="G7" s="10" t="s">
        <v>5</v>
      </c>
      <c r="H7" s="11" t="s">
        <v>6</v>
      </c>
      <c r="I7" s="12" t="s">
        <v>7</v>
      </c>
      <c r="J7" s="12" t="s">
        <v>8</v>
      </c>
    </row>
    <row r="8" spans="1:10" s="19" customFormat="1" ht="22" customHeight="1" thickBot="1">
      <c r="A8" s="14">
        <v>1</v>
      </c>
      <c r="B8" s="70" t="s">
        <v>98</v>
      </c>
      <c r="C8" s="71"/>
      <c r="D8" s="71"/>
      <c r="E8" s="72"/>
      <c r="F8" s="15" t="s">
        <v>10</v>
      </c>
      <c r="G8" s="16">
        <v>1</v>
      </c>
      <c r="H8" s="42" t="s">
        <v>25</v>
      </c>
      <c r="I8" s="18">
        <v>75</v>
      </c>
      <c r="J8" s="17">
        <f t="shared" ref="J8:J39" si="0">I8*G8</f>
        <v>75</v>
      </c>
    </row>
    <row r="9" spans="1:10" s="19" customFormat="1" ht="22" customHeight="1" thickBot="1">
      <c r="A9" s="14">
        <v>2</v>
      </c>
      <c r="B9" s="73" t="s">
        <v>99</v>
      </c>
      <c r="C9" s="74"/>
      <c r="D9" s="74"/>
      <c r="E9" s="75"/>
      <c r="F9" s="15" t="s">
        <v>10</v>
      </c>
      <c r="G9" s="16">
        <v>1</v>
      </c>
      <c r="H9" s="42" t="s">
        <v>25</v>
      </c>
      <c r="I9" s="18">
        <v>80</v>
      </c>
      <c r="J9" s="17">
        <f t="shared" si="0"/>
        <v>80</v>
      </c>
    </row>
    <row r="10" spans="1:10" s="19" customFormat="1" ht="22" customHeight="1" thickBot="1">
      <c r="A10" s="14">
        <v>3</v>
      </c>
      <c r="B10" s="63" t="s">
        <v>100</v>
      </c>
      <c r="C10" s="64"/>
      <c r="D10" s="64"/>
      <c r="E10" s="65"/>
      <c r="F10" s="15" t="s">
        <v>10</v>
      </c>
      <c r="G10" s="16">
        <v>1</v>
      </c>
      <c r="H10" s="42" t="s">
        <v>25</v>
      </c>
      <c r="I10" s="18">
        <v>80</v>
      </c>
      <c r="J10" s="17">
        <f t="shared" si="0"/>
        <v>80</v>
      </c>
    </row>
    <row r="11" spans="1:10" s="19" customFormat="1" ht="22" customHeight="1" thickBot="1">
      <c r="A11" s="14">
        <v>4</v>
      </c>
      <c r="B11" s="63" t="s">
        <v>101</v>
      </c>
      <c r="C11" s="64"/>
      <c r="D11" s="64"/>
      <c r="E11" s="65"/>
      <c r="F11" s="15" t="s">
        <v>10</v>
      </c>
      <c r="G11" s="16">
        <v>1</v>
      </c>
      <c r="H11" s="42" t="s">
        <v>25</v>
      </c>
      <c r="I11" s="18">
        <v>80</v>
      </c>
      <c r="J11" s="17">
        <f t="shared" si="0"/>
        <v>80</v>
      </c>
    </row>
    <row r="12" spans="1:10" s="19" customFormat="1" ht="23.15" customHeight="1" thickBot="1">
      <c r="A12" s="14">
        <v>5</v>
      </c>
      <c r="B12" s="63" t="s">
        <v>102</v>
      </c>
      <c r="C12" s="64"/>
      <c r="D12" s="64"/>
      <c r="E12" s="65"/>
      <c r="F12" s="15" t="s">
        <v>10</v>
      </c>
      <c r="G12" s="16">
        <v>1</v>
      </c>
      <c r="H12" s="42" t="s">
        <v>29</v>
      </c>
      <c r="I12" s="18">
        <v>80</v>
      </c>
      <c r="J12" s="17">
        <f t="shared" si="0"/>
        <v>80</v>
      </c>
    </row>
    <row r="13" spans="1:10" s="19" customFormat="1" ht="22" customHeight="1" thickBot="1">
      <c r="A13" s="14">
        <v>6</v>
      </c>
      <c r="B13" s="63" t="s">
        <v>103</v>
      </c>
      <c r="C13" s="64"/>
      <c r="D13" s="64"/>
      <c r="E13" s="65"/>
      <c r="F13" s="15" t="s">
        <v>10</v>
      </c>
      <c r="G13" s="16">
        <v>1</v>
      </c>
      <c r="H13" s="42" t="s">
        <v>29</v>
      </c>
      <c r="I13" s="18">
        <v>80</v>
      </c>
      <c r="J13" s="17">
        <f t="shared" si="0"/>
        <v>80</v>
      </c>
    </row>
    <row r="14" spans="1:10" s="19" customFormat="1" ht="22" customHeight="1" thickBot="1">
      <c r="A14" s="14">
        <v>7</v>
      </c>
      <c r="B14" s="63" t="s">
        <v>104</v>
      </c>
      <c r="C14" s="64"/>
      <c r="D14" s="64"/>
      <c r="E14" s="65"/>
      <c r="F14" s="15" t="s">
        <v>10</v>
      </c>
      <c r="G14" s="16">
        <v>1</v>
      </c>
      <c r="H14" s="42" t="s">
        <v>29</v>
      </c>
      <c r="I14" s="18">
        <v>90</v>
      </c>
      <c r="J14" s="17">
        <f t="shared" si="0"/>
        <v>90</v>
      </c>
    </row>
    <row r="15" spans="1:10" s="19" customFormat="1" ht="22" customHeight="1" thickBot="1">
      <c r="A15" s="14">
        <v>8</v>
      </c>
      <c r="B15" s="63" t="s">
        <v>105</v>
      </c>
      <c r="C15" s="64"/>
      <c r="D15" s="64"/>
      <c r="E15" s="65"/>
      <c r="F15" s="15" t="s">
        <v>10</v>
      </c>
      <c r="G15" s="16">
        <v>1</v>
      </c>
      <c r="H15" s="42" t="s">
        <v>29</v>
      </c>
      <c r="I15" s="18">
        <v>130</v>
      </c>
      <c r="J15" s="17">
        <f t="shared" si="0"/>
        <v>130</v>
      </c>
    </row>
    <row r="16" spans="1:10" s="19" customFormat="1" ht="22" customHeight="1" thickBot="1">
      <c r="A16" s="14">
        <v>9</v>
      </c>
      <c r="B16" s="63" t="s">
        <v>106</v>
      </c>
      <c r="C16" s="64"/>
      <c r="D16" s="64"/>
      <c r="E16" s="65"/>
      <c r="F16" s="15" t="s">
        <v>10</v>
      </c>
      <c r="G16" s="16">
        <v>1</v>
      </c>
      <c r="H16" s="42" t="s">
        <v>29</v>
      </c>
      <c r="I16" s="18">
        <v>75</v>
      </c>
      <c r="J16" s="17">
        <f t="shared" si="0"/>
        <v>75</v>
      </c>
    </row>
    <row r="17" spans="1:10" s="19" customFormat="1" ht="22" customHeight="1" thickBot="1">
      <c r="A17" s="14">
        <v>10</v>
      </c>
      <c r="B17" s="63" t="s">
        <v>107</v>
      </c>
      <c r="C17" s="64"/>
      <c r="D17" s="64"/>
      <c r="E17" s="65"/>
      <c r="F17" s="15" t="s">
        <v>10</v>
      </c>
      <c r="G17" s="16">
        <v>1</v>
      </c>
      <c r="H17" s="42" t="s">
        <v>29</v>
      </c>
      <c r="I17" s="18">
        <v>20</v>
      </c>
      <c r="J17" s="17">
        <f t="shared" si="0"/>
        <v>20</v>
      </c>
    </row>
    <row r="18" spans="1:10" s="19" customFormat="1" ht="22" customHeight="1" thickBot="1">
      <c r="A18" s="14">
        <v>11</v>
      </c>
      <c r="B18" s="63" t="s">
        <v>108</v>
      </c>
      <c r="C18" s="64"/>
      <c r="D18" s="64"/>
      <c r="E18" s="65"/>
      <c r="F18" s="15" t="s">
        <v>10</v>
      </c>
      <c r="G18" s="16">
        <v>1</v>
      </c>
      <c r="H18" s="42" t="s">
        <v>29</v>
      </c>
      <c r="I18" s="18">
        <v>40</v>
      </c>
      <c r="J18" s="17">
        <f t="shared" si="0"/>
        <v>40</v>
      </c>
    </row>
    <row r="19" spans="1:10" s="19" customFormat="1" ht="22" customHeight="1" thickBot="1">
      <c r="A19" s="14">
        <v>12</v>
      </c>
      <c r="B19" s="63" t="s">
        <v>109</v>
      </c>
      <c r="C19" s="64"/>
      <c r="D19" s="64"/>
      <c r="E19" s="65"/>
      <c r="F19" s="15" t="s">
        <v>10</v>
      </c>
      <c r="G19" s="16">
        <v>1</v>
      </c>
      <c r="H19" s="42" t="s">
        <v>29</v>
      </c>
      <c r="I19" s="18">
        <v>25</v>
      </c>
      <c r="J19" s="17">
        <f t="shared" si="0"/>
        <v>25</v>
      </c>
    </row>
    <row r="20" spans="1:10" s="19" customFormat="1" ht="22" customHeight="1" thickBot="1">
      <c r="A20" s="14">
        <v>13</v>
      </c>
      <c r="B20" s="63" t="s">
        <v>110</v>
      </c>
      <c r="C20" s="64"/>
      <c r="D20" s="64"/>
      <c r="E20" s="65"/>
      <c r="F20" s="15" t="s">
        <v>10</v>
      </c>
      <c r="G20" s="16">
        <v>1</v>
      </c>
      <c r="H20" s="42" t="s">
        <v>29</v>
      </c>
      <c r="I20" s="18">
        <v>40</v>
      </c>
      <c r="J20" s="17">
        <f t="shared" si="0"/>
        <v>40</v>
      </c>
    </row>
    <row r="21" spans="1:10" s="19" customFormat="1" ht="23.15" customHeight="1" thickBot="1">
      <c r="A21" s="14">
        <v>14</v>
      </c>
      <c r="B21" s="63" t="s">
        <v>111</v>
      </c>
      <c r="C21" s="64"/>
      <c r="D21" s="64"/>
      <c r="E21" s="65"/>
      <c r="F21" s="15" t="s">
        <v>10</v>
      </c>
      <c r="G21" s="16">
        <v>1</v>
      </c>
      <c r="H21" s="42" t="s">
        <v>25</v>
      </c>
      <c r="I21" s="18">
        <v>110</v>
      </c>
      <c r="J21" s="17">
        <f t="shared" si="0"/>
        <v>110</v>
      </c>
    </row>
    <row r="22" spans="1:10" s="19" customFormat="1" ht="23.15" customHeight="1" thickBot="1">
      <c r="A22" s="14">
        <v>15</v>
      </c>
      <c r="B22" s="63" t="s">
        <v>112</v>
      </c>
      <c r="C22" s="64"/>
      <c r="D22" s="64"/>
      <c r="E22" s="65"/>
      <c r="F22" s="15" t="s">
        <v>10</v>
      </c>
      <c r="G22" s="16">
        <v>1</v>
      </c>
      <c r="H22" s="42" t="s">
        <v>29</v>
      </c>
      <c r="I22" s="18">
        <v>120</v>
      </c>
      <c r="J22" s="17">
        <f t="shared" si="0"/>
        <v>120</v>
      </c>
    </row>
    <row r="23" spans="1:10" s="19" customFormat="1" ht="22" customHeight="1" thickBot="1">
      <c r="A23" s="14">
        <v>16</v>
      </c>
      <c r="B23" s="63" t="s">
        <v>113</v>
      </c>
      <c r="C23" s="64"/>
      <c r="D23" s="64"/>
      <c r="E23" s="65"/>
      <c r="F23" s="15" t="s">
        <v>10</v>
      </c>
      <c r="G23" s="16">
        <v>1</v>
      </c>
      <c r="H23" s="42" t="s">
        <v>29</v>
      </c>
      <c r="I23" s="18">
        <v>45</v>
      </c>
      <c r="J23" s="17">
        <f t="shared" si="0"/>
        <v>45</v>
      </c>
    </row>
    <row r="24" spans="1:10" s="19" customFormat="1" ht="22" customHeight="1" thickBot="1">
      <c r="A24" s="14">
        <v>17</v>
      </c>
      <c r="B24" s="63" t="s">
        <v>114</v>
      </c>
      <c r="C24" s="64"/>
      <c r="D24" s="64"/>
      <c r="E24" s="65"/>
      <c r="F24" s="15" t="s">
        <v>10</v>
      </c>
      <c r="G24" s="16">
        <v>1</v>
      </c>
      <c r="H24" s="42" t="s">
        <v>29</v>
      </c>
      <c r="I24" s="18">
        <v>100</v>
      </c>
      <c r="J24" s="17">
        <f t="shared" si="0"/>
        <v>100</v>
      </c>
    </row>
    <row r="25" spans="1:10" s="19" customFormat="1" ht="22" customHeight="1" thickBot="1">
      <c r="A25" s="14">
        <v>18</v>
      </c>
      <c r="B25" s="63" t="s">
        <v>115</v>
      </c>
      <c r="C25" s="64"/>
      <c r="D25" s="64"/>
      <c r="E25" s="65"/>
      <c r="F25" s="15" t="s">
        <v>10</v>
      </c>
      <c r="G25" s="16">
        <v>1</v>
      </c>
      <c r="H25" s="42" t="s">
        <v>29</v>
      </c>
      <c r="I25" s="18">
        <v>120</v>
      </c>
      <c r="J25" s="17">
        <f t="shared" si="0"/>
        <v>120</v>
      </c>
    </row>
    <row r="26" spans="1:10" s="19" customFormat="1" ht="22" customHeight="1" thickBot="1">
      <c r="A26" s="14">
        <v>19</v>
      </c>
      <c r="B26" s="63" t="s">
        <v>116</v>
      </c>
      <c r="C26" s="64"/>
      <c r="D26" s="64"/>
      <c r="E26" s="65"/>
      <c r="F26" s="15" t="s">
        <v>10</v>
      </c>
      <c r="G26" s="16">
        <v>1</v>
      </c>
      <c r="H26" s="42" t="s">
        <v>29</v>
      </c>
      <c r="I26" s="18">
        <v>60</v>
      </c>
      <c r="J26" s="17">
        <f t="shared" si="0"/>
        <v>60</v>
      </c>
    </row>
    <row r="27" spans="1:10" s="19" customFormat="1" ht="22" customHeight="1" thickBot="1">
      <c r="A27" s="14">
        <v>20</v>
      </c>
      <c r="B27" s="63" t="s">
        <v>117</v>
      </c>
      <c r="C27" s="64"/>
      <c r="D27" s="64"/>
      <c r="E27" s="65"/>
      <c r="F27" s="15" t="s">
        <v>10</v>
      </c>
      <c r="G27" s="16">
        <v>1</v>
      </c>
      <c r="H27" s="42" t="s">
        <v>29</v>
      </c>
      <c r="I27" s="18">
        <v>12</v>
      </c>
      <c r="J27" s="17">
        <f t="shared" si="0"/>
        <v>12</v>
      </c>
    </row>
    <row r="28" spans="1:10" s="19" customFormat="1" ht="22" customHeight="1" thickBot="1">
      <c r="A28" s="14">
        <v>21</v>
      </c>
      <c r="B28" s="63" t="s">
        <v>118</v>
      </c>
      <c r="C28" s="64"/>
      <c r="D28" s="64"/>
      <c r="E28" s="65"/>
      <c r="F28" s="15" t="s">
        <v>10</v>
      </c>
      <c r="G28" s="16">
        <v>1</v>
      </c>
      <c r="H28" s="42" t="s">
        <v>29</v>
      </c>
      <c r="I28" s="18">
        <v>20</v>
      </c>
      <c r="J28" s="17">
        <f t="shared" si="0"/>
        <v>20</v>
      </c>
    </row>
    <row r="29" spans="1:10" s="19" customFormat="1" ht="23.15" customHeight="1" thickBot="1">
      <c r="A29" s="14">
        <v>22</v>
      </c>
      <c r="B29" s="63" t="s">
        <v>119</v>
      </c>
      <c r="C29" s="64"/>
      <c r="D29" s="64"/>
      <c r="E29" s="65"/>
      <c r="F29" s="15" t="s">
        <v>10</v>
      </c>
      <c r="G29" s="16">
        <v>1</v>
      </c>
      <c r="H29" s="44" t="s">
        <v>29</v>
      </c>
      <c r="I29" s="18">
        <v>45</v>
      </c>
      <c r="J29" s="17">
        <f t="shared" si="0"/>
        <v>45</v>
      </c>
    </row>
    <row r="30" spans="1:10" s="19" customFormat="1" ht="23.15" customHeight="1" thickBot="1">
      <c r="A30" s="14">
        <v>23</v>
      </c>
      <c r="B30" s="63" t="s">
        <v>120</v>
      </c>
      <c r="C30" s="64"/>
      <c r="D30" s="64"/>
      <c r="E30" s="65"/>
      <c r="F30" s="15" t="s">
        <v>10</v>
      </c>
      <c r="G30" s="16">
        <v>1</v>
      </c>
      <c r="H30" s="44" t="s">
        <v>29</v>
      </c>
      <c r="I30" s="18">
        <v>100</v>
      </c>
      <c r="J30" s="17">
        <f t="shared" si="0"/>
        <v>100</v>
      </c>
    </row>
    <row r="31" spans="1:10" s="19" customFormat="1" ht="22" customHeight="1" thickBot="1">
      <c r="A31" s="14">
        <v>24</v>
      </c>
      <c r="B31" s="63" t="s">
        <v>121</v>
      </c>
      <c r="C31" s="64"/>
      <c r="D31" s="64"/>
      <c r="E31" s="65"/>
      <c r="F31" s="15" t="s">
        <v>10</v>
      </c>
      <c r="G31" s="16">
        <v>1</v>
      </c>
      <c r="H31" s="44" t="s">
        <v>122</v>
      </c>
      <c r="I31" s="18">
        <v>120</v>
      </c>
      <c r="J31" s="17">
        <f t="shared" si="0"/>
        <v>120</v>
      </c>
    </row>
    <row r="32" spans="1:10" s="19" customFormat="1" ht="22" customHeight="1" thickBot="1">
      <c r="A32" s="14">
        <v>25</v>
      </c>
      <c r="B32" s="63" t="s">
        <v>123</v>
      </c>
      <c r="C32" s="64"/>
      <c r="D32" s="64"/>
      <c r="E32" s="65"/>
      <c r="F32" s="15" t="s">
        <v>10</v>
      </c>
      <c r="G32" s="16">
        <v>1</v>
      </c>
      <c r="H32" s="44" t="s">
        <v>122</v>
      </c>
      <c r="I32" s="18">
        <v>60</v>
      </c>
      <c r="J32" s="17">
        <f t="shared" si="0"/>
        <v>60</v>
      </c>
    </row>
    <row r="33" spans="1:10" s="19" customFormat="1" ht="22" customHeight="1" thickBot="1">
      <c r="A33" s="14">
        <v>26</v>
      </c>
      <c r="B33" s="63" t="s">
        <v>124</v>
      </c>
      <c r="C33" s="64"/>
      <c r="D33" s="64"/>
      <c r="E33" s="65"/>
      <c r="F33" s="15" t="s">
        <v>10</v>
      </c>
      <c r="G33" s="16">
        <v>1</v>
      </c>
      <c r="H33" s="44" t="s">
        <v>29</v>
      </c>
      <c r="I33" s="18">
        <v>12</v>
      </c>
      <c r="J33" s="17">
        <f t="shared" si="0"/>
        <v>12</v>
      </c>
    </row>
    <row r="34" spans="1:10" s="19" customFormat="1" ht="22" customHeight="1" thickBot="1">
      <c r="A34" s="14">
        <v>27</v>
      </c>
      <c r="B34" s="63" t="s">
        <v>125</v>
      </c>
      <c r="C34" s="64"/>
      <c r="D34" s="64"/>
      <c r="E34" s="65"/>
      <c r="F34" s="15" t="s">
        <v>10</v>
      </c>
      <c r="G34" s="16">
        <v>1</v>
      </c>
      <c r="H34" s="44" t="s">
        <v>29</v>
      </c>
      <c r="I34" s="18">
        <v>150</v>
      </c>
      <c r="J34" s="17">
        <f t="shared" si="0"/>
        <v>150</v>
      </c>
    </row>
    <row r="35" spans="1:10" s="19" customFormat="1" ht="22" customHeight="1" thickBot="1">
      <c r="A35" s="14">
        <v>28</v>
      </c>
      <c r="B35" s="63" t="s">
        <v>126</v>
      </c>
      <c r="C35" s="64"/>
      <c r="D35" s="64"/>
      <c r="E35" s="65"/>
      <c r="F35" s="15" t="s">
        <v>10</v>
      </c>
      <c r="G35" s="16">
        <v>1</v>
      </c>
      <c r="H35" s="44" t="s">
        <v>29</v>
      </c>
      <c r="I35" s="18">
        <v>250</v>
      </c>
      <c r="J35" s="17">
        <f t="shared" si="0"/>
        <v>250</v>
      </c>
    </row>
    <row r="36" spans="1:10" s="19" customFormat="1" ht="23.15" customHeight="1" thickBot="1">
      <c r="A36" s="14">
        <v>29</v>
      </c>
      <c r="B36" s="63" t="s">
        <v>127</v>
      </c>
      <c r="C36" s="64"/>
      <c r="D36" s="64"/>
      <c r="E36" s="65"/>
      <c r="F36" s="15" t="s">
        <v>10</v>
      </c>
      <c r="G36" s="16">
        <v>1</v>
      </c>
      <c r="H36" s="44" t="s">
        <v>29</v>
      </c>
      <c r="I36" s="18">
        <v>80</v>
      </c>
      <c r="J36" s="17">
        <f t="shared" si="0"/>
        <v>80</v>
      </c>
    </row>
    <row r="37" spans="1:10" s="19" customFormat="1" ht="23.15" customHeight="1" thickBot="1">
      <c r="A37" s="14">
        <v>30</v>
      </c>
      <c r="B37" s="63" t="s">
        <v>128</v>
      </c>
      <c r="C37" s="64"/>
      <c r="D37" s="64"/>
      <c r="E37" s="65"/>
      <c r="F37" s="15" t="s">
        <v>10</v>
      </c>
      <c r="G37" s="16">
        <v>1</v>
      </c>
      <c r="H37" s="44" t="s">
        <v>29</v>
      </c>
      <c r="I37" s="18">
        <v>80</v>
      </c>
      <c r="J37" s="17">
        <f t="shared" si="0"/>
        <v>80</v>
      </c>
    </row>
    <row r="38" spans="1:10" s="19" customFormat="1" ht="22" customHeight="1" thickBot="1">
      <c r="A38" s="14">
        <v>31</v>
      </c>
      <c r="B38" s="63" t="s">
        <v>129</v>
      </c>
      <c r="C38" s="64"/>
      <c r="D38" s="64"/>
      <c r="E38" s="65"/>
      <c r="F38" s="15" t="s">
        <v>10</v>
      </c>
      <c r="G38" s="16">
        <v>1</v>
      </c>
      <c r="H38" s="44" t="s">
        <v>29</v>
      </c>
      <c r="I38" s="18">
        <v>70</v>
      </c>
      <c r="J38" s="17">
        <f t="shared" si="0"/>
        <v>70</v>
      </c>
    </row>
    <row r="39" spans="1:10" s="19" customFormat="1" ht="22" customHeight="1" thickBot="1">
      <c r="A39" s="14">
        <v>32</v>
      </c>
      <c r="B39" s="63" t="s">
        <v>130</v>
      </c>
      <c r="C39" s="64"/>
      <c r="D39" s="64"/>
      <c r="E39" s="65"/>
      <c r="F39" s="15" t="s">
        <v>10</v>
      </c>
      <c r="G39" s="16">
        <v>1</v>
      </c>
      <c r="H39" s="44" t="s">
        <v>29</v>
      </c>
      <c r="I39" s="18">
        <v>80</v>
      </c>
      <c r="J39" s="17">
        <f t="shared" si="0"/>
        <v>80</v>
      </c>
    </row>
    <row r="40" spans="1:10" s="19" customFormat="1" ht="22" customHeight="1" thickBot="1">
      <c r="A40" s="14">
        <v>33</v>
      </c>
      <c r="B40" s="63" t="s">
        <v>131</v>
      </c>
      <c r="C40" s="64"/>
      <c r="D40" s="64"/>
      <c r="E40" s="65"/>
      <c r="F40" s="15" t="s">
        <v>10</v>
      </c>
      <c r="G40" s="16">
        <v>1</v>
      </c>
      <c r="H40" s="44" t="s">
        <v>29</v>
      </c>
      <c r="I40" s="18">
        <v>80</v>
      </c>
      <c r="J40" s="17">
        <f t="shared" ref="J40:J70" si="1">I40*G40</f>
        <v>80</v>
      </c>
    </row>
    <row r="41" spans="1:10" s="19" customFormat="1" ht="22" customHeight="1" thickBot="1">
      <c r="A41" s="14">
        <v>34</v>
      </c>
      <c r="B41" s="63" t="s">
        <v>132</v>
      </c>
      <c r="C41" s="64"/>
      <c r="D41" s="64"/>
      <c r="E41" s="65"/>
      <c r="F41" s="15" t="s">
        <v>10</v>
      </c>
      <c r="G41" s="16">
        <v>1</v>
      </c>
      <c r="H41" s="44" t="s">
        <v>29</v>
      </c>
      <c r="I41" s="18">
        <v>70</v>
      </c>
      <c r="J41" s="17">
        <f t="shared" si="1"/>
        <v>70</v>
      </c>
    </row>
    <row r="42" spans="1:10" s="19" customFormat="1" ht="22" customHeight="1" thickBot="1">
      <c r="A42" s="14">
        <v>35</v>
      </c>
      <c r="B42" s="63" t="s">
        <v>133</v>
      </c>
      <c r="C42" s="64"/>
      <c r="D42" s="64"/>
      <c r="E42" s="65"/>
      <c r="F42" s="15" t="s">
        <v>10</v>
      </c>
      <c r="G42" s="16">
        <v>1</v>
      </c>
      <c r="H42" s="44" t="s">
        <v>29</v>
      </c>
      <c r="I42" s="18">
        <v>90</v>
      </c>
      <c r="J42" s="17">
        <f t="shared" si="1"/>
        <v>90</v>
      </c>
    </row>
    <row r="43" spans="1:10" s="19" customFormat="1" ht="22" customHeight="1" thickBot="1">
      <c r="A43" s="14">
        <v>36</v>
      </c>
      <c r="B43" s="63" t="s">
        <v>134</v>
      </c>
      <c r="C43" s="64"/>
      <c r="D43" s="64"/>
      <c r="E43" s="65"/>
      <c r="F43" s="15" t="s">
        <v>10</v>
      </c>
      <c r="G43" s="16">
        <v>1</v>
      </c>
      <c r="H43" s="44" t="s">
        <v>29</v>
      </c>
      <c r="I43" s="18">
        <v>70</v>
      </c>
      <c r="J43" s="17">
        <f t="shared" si="1"/>
        <v>70</v>
      </c>
    </row>
    <row r="44" spans="1:10" s="19" customFormat="1" ht="23.15" customHeight="1" thickBot="1">
      <c r="A44" s="14">
        <v>37</v>
      </c>
      <c r="B44" s="63" t="s">
        <v>135</v>
      </c>
      <c r="C44" s="64"/>
      <c r="D44" s="64"/>
      <c r="E44" s="65"/>
      <c r="F44" s="15" t="s">
        <v>10</v>
      </c>
      <c r="G44" s="16">
        <v>1</v>
      </c>
      <c r="H44" s="44" t="s">
        <v>29</v>
      </c>
      <c r="I44" s="18">
        <v>70</v>
      </c>
      <c r="J44" s="17">
        <f t="shared" si="1"/>
        <v>70</v>
      </c>
    </row>
    <row r="45" spans="1:10" s="19" customFormat="1" ht="23.15" customHeight="1" thickBot="1">
      <c r="A45" s="14">
        <v>38</v>
      </c>
      <c r="B45" s="63" t="s">
        <v>136</v>
      </c>
      <c r="C45" s="64"/>
      <c r="D45" s="64"/>
      <c r="E45" s="65"/>
      <c r="F45" s="15" t="s">
        <v>10</v>
      </c>
      <c r="G45" s="16">
        <v>1</v>
      </c>
      <c r="H45" s="44" t="s">
        <v>122</v>
      </c>
      <c r="I45" s="18">
        <v>120</v>
      </c>
      <c r="J45" s="17">
        <f t="shared" si="1"/>
        <v>120</v>
      </c>
    </row>
    <row r="46" spans="1:10" s="19" customFormat="1" ht="22" customHeight="1" thickBot="1">
      <c r="A46" s="14">
        <v>39</v>
      </c>
      <c r="B46" s="63" t="s">
        <v>137</v>
      </c>
      <c r="C46" s="64"/>
      <c r="D46" s="64"/>
      <c r="E46" s="65"/>
      <c r="F46" s="15" t="s">
        <v>10</v>
      </c>
      <c r="G46" s="16">
        <v>1</v>
      </c>
      <c r="H46" s="44" t="s">
        <v>29</v>
      </c>
      <c r="I46" s="18">
        <v>70</v>
      </c>
      <c r="J46" s="17">
        <f t="shared" si="1"/>
        <v>70</v>
      </c>
    </row>
    <row r="47" spans="1:10" s="19" customFormat="1" ht="22" customHeight="1" thickBot="1">
      <c r="A47" s="14">
        <v>40</v>
      </c>
      <c r="B47" s="63" t="s">
        <v>138</v>
      </c>
      <c r="C47" s="64"/>
      <c r="D47" s="64"/>
      <c r="E47" s="65"/>
      <c r="F47" s="15" t="s">
        <v>10</v>
      </c>
      <c r="G47" s="16">
        <v>1</v>
      </c>
      <c r="H47" s="44" t="s">
        <v>29</v>
      </c>
      <c r="I47" s="18">
        <v>250</v>
      </c>
      <c r="J47" s="17">
        <f t="shared" si="1"/>
        <v>250</v>
      </c>
    </row>
    <row r="48" spans="1:10" s="19" customFormat="1" ht="22" customHeight="1" thickBot="1">
      <c r="A48" s="14">
        <v>41</v>
      </c>
      <c r="B48" s="63" t="s">
        <v>139</v>
      </c>
      <c r="C48" s="64"/>
      <c r="D48" s="64"/>
      <c r="E48" s="65"/>
      <c r="F48" s="15" t="s">
        <v>10</v>
      </c>
      <c r="G48" s="16">
        <v>1</v>
      </c>
      <c r="H48" s="44" t="s">
        <v>29</v>
      </c>
      <c r="I48" s="18">
        <v>280</v>
      </c>
      <c r="J48" s="17">
        <f t="shared" si="1"/>
        <v>280</v>
      </c>
    </row>
    <row r="49" spans="1:10" s="19" customFormat="1" ht="22" customHeight="1" thickBot="1">
      <c r="A49" s="14">
        <v>42</v>
      </c>
      <c r="B49" s="63" t="s">
        <v>140</v>
      </c>
      <c r="C49" s="64"/>
      <c r="D49" s="64"/>
      <c r="E49" s="65"/>
      <c r="F49" s="15" t="s">
        <v>10</v>
      </c>
      <c r="G49" s="16">
        <v>1</v>
      </c>
      <c r="H49" s="44" t="s">
        <v>29</v>
      </c>
      <c r="I49" s="18">
        <v>120</v>
      </c>
      <c r="J49" s="17">
        <f t="shared" si="1"/>
        <v>120</v>
      </c>
    </row>
    <row r="50" spans="1:10" s="19" customFormat="1" ht="23.15" customHeight="1" thickBot="1">
      <c r="A50" s="14">
        <v>43</v>
      </c>
      <c r="B50" s="63" t="s">
        <v>141</v>
      </c>
      <c r="C50" s="64"/>
      <c r="D50" s="64"/>
      <c r="E50" s="65"/>
      <c r="F50" s="15" t="s">
        <v>10</v>
      </c>
      <c r="G50" s="16">
        <v>1</v>
      </c>
      <c r="H50" s="44" t="s">
        <v>29</v>
      </c>
      <c r="I50" s="18">
        <v>150</v>
      </c>
      <c r="J50" s="17">
        <f t="shared" si="1"/>
        <v>150</v>
      </c>
    </row>
    <row r="51" spans="1:10" s="19" customFormat="1" ht="22" customHeight="1" thickBot="1">
      <c r="A51" s="14">
        <v>44</v>
      </c>
      <c r="B51" s="63" t="s">
        <v>142</v>
      </c>
      <c r="C51" s="64"/>
      <c r="D51" s="64"/>
      <c r="E51" s="65"/>
      <c r="F51" s="15" t="s">
        <v>10</v>
      </c>
      <c r="G51" s="16">
        <v>1</v>
      </c>
      <c r="H51" s="44" t="s">
        <v>29</v>
      </c>
      <c r="I51" s="18">
        <v>50</v>
      </c>
      <c r="J51" s="17">
        <f t="shared" si="1"/>
        <v>50</v>
      </c>
    </row>
    <row r="52" spans="1:10" s="19" customFormat="1" ht="22" customHeight="1" thickBot="1">
      <c r="A52" s="14">
        <v>45</v>
      </c>
      <c r="B52" s="63" t="s">
        <v>143</v>
      </c>
      <c r="C52" s="64"/>
      <c r="D52" s="64"/>
      <c r="E52" s="65"/>
      <c r="F52" s="15" t="s">
        <v>10</v>
      </c>
      <c r="G52" s="16">
        <v>1</v>
      </c>
      <c r="H52" s="44" t="s">
        <v>144</v>
      </c>
      <c r="I52" s="18">
        <v>40</v>
      </c>
      <c r="J52" s="17">
        <f t="shared" si="1"/>
        <v>40</v>
      </c>
    </row>
    <row r="53" spans="1:10" s="19" customFormat="1" ht="22" customHeight="1" thickBot="1">
      <c r="A53" s="14">
        <v>46</v>
      </c>
      <c r="B53" s="63" t="s">
        <v>145</v>
      </c>
      <c r="C53" s="64"/>
      <c r="D53" s="64"/>
      <c r="E53" s="65"/>
      <c r="F53" s="15" t="s">
        <v>10</v>
      </c>
      <c r="G53" s="16">
        <v>1</v>
      </c>
      <c r="H53" s="44" t="s">
        <v>29</v>
      </c>
      <c r="I53" s="18">
        <v>35</v>
      </c>
      <c r="J53" s="17">
        <f t="shared" si="1"/>
        <v>35</v>
      </c>
    </row>
    <row r="54" spans="1:10" s="19" customFormat="1" ht="22" customHeight="1" thickBot="1">
      <c r="A54" s="14">
        <v>47</v>
      </c>
      <c r="B54" s="63" t="s">
        <v>146</v>
      </c>
      <c r="C54" s="64"/>
      <c r="D54" s="64"/>
      <c r="E54" s="65"/>
      <c r="F54" s="15" t="s">
        <v>10</v>
      </c>
      <c r="G54" s="16">
        <v>1</v>
      </c>
      <c r="H54" s="44" t="s">
        <v>29</v>
      </c>
      <c r="I54" s="18">
        <v>25</v>
      </c>
      <c r="J54" s="17">
        <f t="shared" si="1"/>
        <v>25</v>
      </c>
    </row>
    <row r="55" spans="1:10" s="19" customFormat="1" ht="22" customHeight="1" thickBot="1">
      <c r="A55" s="14">
        <v>48</v>
      </c>
      <c r="B55" s="63" t="s">
        <v>147</v>
      </c>
      <c r="C55" s="64"/>
      <c r="D55" s="64"/>
      <c r="E55" s="65"/>
      <c r="F55" s="15" t="s">
        <v>10</v>
      </c>
      <c r="G55" s="16">
        <v>1</v>
      </c>
      <c r="H55" s="44" t="s">
        <v>29</v>
      </c>
      <c r="I55" s="18">
        <v>25</v>
      </c>
      <c r="J55" s="17">
        <f t="shared" si="1"/>
        <v>25</v>
      </c>
    </row>
    <row r="56" spans="1:10" s="19" customFormat="1" ht="22" customHeight="1" thickBot="1">
      <c r="A56" s="14">
        <v>49</v>
      </c>
      <c r="B56" s="63" t="s">
        <v>148</v>
      </c>
      <c r="C56" s="64"/>
      <c r="D56" s="64"/>
      <c r="E56" s="65"/>
      <c r="F56" s="15" t="s">
        <v>10</v>
      </c>
      <c r="G56" s="16">
        <v>1</v>
      </c>
      <c r="H56" s="44" t="s">
        <v>29</v>
      </c>
      <c r="I56" s="18">
        <v>65</v>
      </c>
      <c r="J56" s="17">
        <f t="shared" si="1"/>
        <v>65</v>
      </c>
    </row>
    <row r="57" spans="1:10" s="19" customFormat="1" ht="23.15" customHeight="1" thickBot="1">
      <c r="A57" s="14">
        <v>50</v>
      </c>
      <c r="B57" s="63" t="s">
        <v>149</v>
      </c>
      <c r="C57" s="64"/>
      <c r="D57" s="64"/>
      <c r="E57" s="65"/>
      <c r="F57" s="15" t="s">
        <v>10</v>
      </c>
      <c r="G57" s="16">
        <v>1</v>
      </c>
      <c r="H57" s="44" t="s">
        <v>29</v>
      </c>
      <c r="I57" s="18">
        <v>10</v>
      </c>
      <c r="J57" s="17">
        <f t="shared" si="1"/>
        <v>10</v>
      </c>
    </row>
    <row r="58" spans="1:10" s="19" customFormat="1" ht="23.15" customHeight="1" thickBot="1">
      <c r="A58" s="14">
        <v>51</v>
      </c>
      <c r="B58" s="63" t="s">
        <v>150</v>
      </c>
      <c r="C58" s="64"/>
      <c r="D58" s="64"/>
      <c r="E58" s="65"/>
      <c r="F58" s="15" t="s">
        <v>10</v>
      </c>
      <c r="G58" s="16">
        <v>1</v>
      </c>
      <c r="H58" s="44" t="s">
        <v>29</v>
      </c>
      <c r="I58" s="18">
        <v>30</v>
      </c>
      <c r="J58" s="17">
        <f t="shared" si="1"/>
        <v>30</v>
      </c>
    </row>
    <row r="59" spans="1:10" s="19" customFormat="1" ht="22" customHeight="1" thickBot="1">
      <c r="A59" s="14">
        <v>52</v>
      </c>
      <c r="B59" s="63" t="s">
        <v>151</v>
      </c>
      <c r="C59" s="64"/>
      <c r="D59" s="64"/>
      <c r="E59" s="65"/>
      <c r="F59" s="15" t="s">
        <v>10</v>
      </c>
      <c r="G59" s="16">
        <v>1</v>
      </c>
      <c r="H59" s="44" t="s">
        <v>29</v>
      </c>
      <c r="I59" s="18">
        <v>50</v>
      </c>
      <c r="J59" s="17">
        <f t="shared" si="1"/>
        <v>50</v>
      </c>
    </row>
    <row r="60" spans="1:10" s="19" customFormat="1" ht="22" customHeight="1" thickBot="1">
      <c r="A60" s="14">
        <v>53</v>
      </c>
      <c r="B60" s="63" t="s">
        <v>152</v>
      </c>
      <c r="C60" s="64"/>
      <c r="D60" s="64"/>
      <c r="E60" s="65"/>
      <c r="F60" s="15" t="s">
        <v>10</v>
      </c>
      <c r="G60" s="16">
        <v>1</v>
      </c>
      <c r="H60" s="44" t="s">
        <v>29</v>
      </c>
      <c r="I60" s="18">
        <v>45</v>
      </c>
      <c r="J60" s="17">
        <f t="shared" si="1"/>
        <v>45</v>
      </c>
    </row>
    <row r="61" spans="1:10" s="19" customFormat="1" ht="23.15" customHeight="1" thickBot="1">
      <c r="A61" s="14">
        <v>54</v>
      </c>
      <c r="B61" s="63" t="s">
        <v>153</v>
      </c>
      <c r="C61" s="64"/>
      <c r="D61" s="64"/>
      <c r="E61" s="65"/>
      <c r="F61" s="15" t="s">
        <v>10</v>
      </c>
      <c r="G61" s="16">
        <v>1</v>
      </c>
      <c r="H61" s="44" t="s">
        <v>29</v>
      </c>
      <c r="I61" s="18">
        <v>20</v>
      </c>
      <c r="J61" s="17">
        <f t="shared" si="1"/>
        <v>20</v>
      </c>
    </row>
    <row r="62" spans="1:10" s="19" customFormat="1" ht="22" customHeight="1" thickBot="1">
      <c r="A62" s="14">
        <v>55</v>
      </c>
      <c r="B62" s="63" t="s">
        <v>154</v>
      </c>
      <c r="C62" s="64"/>
      <c r="D62" s="64"/>
      <c r="E62" s="65"/>
      <c r="F62" s="15" t="s">
        <v>10</v>
      </c>
      <c r="G62" s="16">
        <v>1</v>
      </c>
      <c r="H62" s="44" t="s">
        <v>29</v>
      </c>
      <c r="I62" s="18">
        <v>200</v>
      </c>
      <c r="J62" s="17">
        <f t="shared" si="1"/>
        <v>200</v>
      </c>
    </row>
    <row r="63" spans="1:10" s="19" customFormat="1" ht="22" customHeight="1" thickBot="1">
      <c r="A63" s="14">
        <v>56</v>
      </c>
      <c r="B63" s="63" t="s">
        <v>155</v>
      </c>
      <c r="C63" s="64"/>
      <c r="D63" s="64"/>
      <c r="E63" s="65"/>
      <c r="F63" s="15" t="s">
        <v>10</v>
      </c>
      <c r="G63" s="16">
        <v>1</v>
      </c>
      <c r="H63" s="44" t="s">
        <v>29</v>
      </c>
      <c r="I63" s="18">
        <v>30</v>
      </c>
      <c r="J63" s="17">
        <f t="shared" si="1"/>
        <v>30</v>
      </c>
    </row>
    <row r="64" spans="1:10" s="19" customFormat="1" ht="22" customHeight="1" thickBot="1">
      <c r="A64" s="14">
        <v>57</v>
      </c>
      <c r="B64" s="63" t="s">
        <v>156</v>
      </c>
      <c r="C64" s="64"/>
      <c r="D64" s="64"/>
      <c r="E64" s="65"/>
      <c r="F64" s="15" t="s">
        <v>10</v>
      </c>
      <c r="G64" s="16">
        <v>1</v>
      </c>
      <c r="H64" s="44" t="s">
        <v>29</v>
      </c>
      <c r="I64" s="18">
        <v>15</v>
      </c>
      <c r="J64" s="17">
        <f t="shared" si="1"/>
        <v>15</v>
      </c>
    </row>
    <row r="65" spans="1:10" s="19" customFormat="1" ht="22" customHeight="1" thickBot="1">
      <c r="A65" s="14">
        <v>58</v>
      </c>
      <c r="B65" s="63" t="s">
        <v>157</v>
      </c>
      <c r="C65" s="64"/>
      <c r="D65" s="64"/>
      <c r="E65" s="65"/>
      <c r="F65" s="15" t="s">
        <v>10</v>
      </c>
      <c r="G65" s="16">
        <v>1</v>
      </c>
      <c r="H65" s="44" t="s">
        <v>29</v>
      </c>
      <c r="I65" s="18">
        <v>35</v>
      </c>
      <c r="J65" s="17">
        <f t="shared" si="1"/>
        <v>35</v>
      </c>
    </row>
    <row r="66" spans="1:10" s="19" customFormat="1" ht="22" customHeight="1" thickBot="1">
      <c r="A66" s="14">
        <v>59</v>
      </c>
      <c r="B66" s="63" t="s">
        <v>158</v>
      </c>
      <c r="C66" s="64"/>
      <c r="D66" s="64"/>
      <c r="E66" s="65"/>
      <c r="F66" s="15" t="s">
        <v>10</v>
      </c>
      <c r="G66" s="16">
        <v>1</v>
      </c>
      <c r="H66" s="44" t="s">
        <v>29</v>
      </c>
      <c r="I66" s="18">
        <v>40</v>
      </c>
      <c r="J66" s="17">
        <f t="shared" si="1"/>
        <v>40</v>
      </c>
    </row>
    <row r="67" spans="1:10" s="19" customFormat="1" ht="22" customHeight="1" thickBot="1">
      <c r="A67" s="14">
        <v>60</v>
      </c>
      <c r="B67" s="63" t="s">
        <v>159</v>
      </c>
      <c r="C67" s="64"/>
      <c r="D67" s="64"/>
      <c r="E67" s="65"/>
      <c r="F67" s="15" t="s">
        <v>10</v>
      </c>
      <c r="G67" s="16">
        <v>1</v>
      </c>
      <c r="H67" s="44" t="s">
        <v>29</v>
      </c>
      <c r="I67" s="18">
        <v>45</v>
      </c>
      <c r="J67" s="17">
        <f t="shared" si="1"/>
        <v>45</v>
      </c>
    </row>
    <row r="68" spans="1:10" s="19" customFormat="1" ht="23.15" customHeight="1" thickBot="1">
      <c r="A68" s="14">
        <v>61</v>
      </c>
      <c r="B68" s="63" t="s">
        <v>160</v>
      </c>
      <c r="C68" s="64"/>
      <c r="D68" s="64"/>
      <c r="E68" s="65"/>
      <c r="F68" s="15" t="s">
        <v>10</v>
      </c>
      <c r="G68" s="16">
        <v>1</v>
      </c>
      <c r="H68" s="44" t="s">
        <v>29</v>
      </c>
      <c r="I68" s="18">
        <v>35</v>
      </c>
      <c r="J68" s="17">
        <f t="shared" si="1"/>
        <v>35</v>
      </c>
    </row>
    <row r="69" spans="1:10" s="19" customFormat="1" ht="23.15" customHeight="1" thickBot="1">
      <c r="A69" s="14">
        <v>62</v>
      </c>
      <c r="B69" s="63" t="s">
        <v>161</v>
      </c>
      <c r="C69" s="64"/>
      <c r="D69" s="64"/>
      <c r="E69" s="65"/>
      <c r="F69" s="15" t="s">
        <v>10</v>
      </c>
      <c r="G69" s="16">
        <v>1</v>
      </c>
      <c r="H69" s="44" t="s">
        <v>29</v>
      </c>
      <c r="I69" s="18">
        <v>15</v>
      </c>
      <c r="J69" s="17">
        <f t="shared" si="1"/>
        <v>15</v>
      </c>
    </row>
    <row r="70" spans="1:10" s="19" customFormat="1" ht="22" customHeight="1" thickBot="1">
      <c r="A70" s="14">
        <v>63</v>
      </c>
      <c r="B70" s="63" t="s">
        <v>162</v>
      </c>
      <c r="C70" s="64"/>
      <c r="D70" s="64"/>
      <c r="E70" s="65"/>
      <c r="F70" s="15" t="s">
        <v>10</v>
      </c>
      <c r="G70" s="16">
        <v>1</v>
      </c>
      <c r="H70" s="44" t="s">
        <v>29</v>
      </c>
      <c r="I70" s="18">
        <v>80</v>
      </c>
      <c r="J70" s="17">
        <f t="shared" si="1"/>
        <v>80</v>
      </c>
    </row>
    <row r="71" spans="1:10" ht="21" customHeight="1" thickBot="1">
      <c r="A71" s="25"/>
      <c r="B71" s="26"/>
      <c r="C71" s="26"/>
      <c r="D71" s="27"/>
      <c r="E71" s="27"/>
      <c r="F71" s="27"/>
      <c r="G71" s="28"/>
      <c r="H71" s="29" t="s">
        <v>70</v>
      </c>
      <c r="I71" s="86">
        <f>SUM(J8:J70)</f>
        <v>4789</v>
      </c>
      <c r="J71" s="87"/>
    </row>
  </sheetData>
  <mergeCells count="67">
    <mergeCell ref="A4:J5"/>
    <mergeCell ref="I6:J6"/>
    <mergeCell ref="I71:J71"/>
    <mergeCell ref="B51:E51"/>
    <mergeCell ref="B52:E52"/>
    <mergeCell ref="B53:E53"/>
    <mergeCell ref="B70:E70"/>
    <mergeCell ref="B49:E49"/>
    <mergeCell ref="B50:E50"/>
    <mergeCell ref="B61:E61"/>
    <mergeCell ref="B62:E62"/>
    <mergeCell ref="B63:E63"/>
    <mergeCell ref="B64:E64"/>
    <mergeCell ref="B59:E59"/>
    <mergeCell ref="B60:E60"/>
    <mergeCell ref="B54:E54"/>
    <mergeCell ref="B66:E66"/>
    <mergeCell ref="B67:E67"/>
    <mergeCell ref="B68:E68"/>
    <mergeCell ref="B69:E69"/>
    <mergeCell ref="B48:E48"/>
    <mergeCell ref="B55:E55"/>
    <mergeCell ref="B56:E56"/>
    <mergeCell ref="B57:E57"/>
    <mergeCell ref="B58:E58"/>
    <mergeCell ref="B65:E65"/>
    <mergeCell ref="B45:E45"/>
    <mergeCell ref="B46:E46"/>
    <mergeCell ref="B37:E37"/>
    <mergeCell ref="B38:E38"/>
    <mergeCell ref="B39:E39"/>
    <mergeCell ref="B40:E40"/>
    <mergeCell ref="B41:E41"/>
    <mergeCell ref="B47:E47"/>
    <mergeCell ref="B36:E36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42:E42"/>
    <mergeCell ref="B43:E43"/>
    <mergeCell ref="B44:E44"/>
    <mergeCell ref="B12:E12"/>
    <mergeCell ref="B21:E21"/>
    <mergeCell ref="B22:E22"/>
    <mergeCell ref="B23:E23"/>
    <mergeCell ref="B24:E24"/>
    <mergeCell ref="B19:E19"/>
    <mergeCell ref="B20:E20"/>
    <mergeCell ref="B13:E13"/>
    <mergeCell ref="B14:E14"/>
    <mergeCell ref="B15:E15"/>
    <mergeCell ref="B16:E16"/>
    <mergeCell ref="B17:E17"/>
    <mergeCell ref="B18:E18"/>
    <mergeCell ref="B7:E7"/>
    <mergeCell ref="B8:E8"/>
    <mergeCell ref="B9:E9"/>
    <mergeCell ref="B10:E10"/>
    <mergeCell ref="B11:E11"/>
  </mergeCells>
  <printOptions horizontalCentered="1"/>
  <pageMargins left="0.25" right="0.25" top="0.25" bottom="0.25" header="0.23622047244094499" footer="0.25"/>
  <pageSetup paperSize="9" scale="73" fitToHeight="0" orientation="landscape" r:id="rId1"/>
  <headerFooter alignWithMargins="0">
    <oddFooter>&amp;C&amp;"Arial,Italic"&amp;9Page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3">
    <pageSetUpPr fitToPage="1"/>
  </sheetPr>
  <dimension ref="A1:I43"/>
  <sheetViews>
    <sheetView tabSelected="1" topLeftCell="A24" zoomScale="50" zoomScaleNormal="60" workbookViewId="0">
      <pane xSplit="5" topLeftCell="F1" activePane="topRight" state="frozen"/>
      <selection activeCell="A2" sqref="A2"/>
      <selection pane="topRight" activeCell="L38" sqref="L38"/>
    </sheetView>
  </sheetViews>
  <sheetFormatPr defaultColWidth="9.1796875" defaultRowHeight="12.5"/>
  <cols>
    <col min="1" max="1" width="5.26953125" style="2" customWidth="1"/>
    <col min="2" max="2" width="10.1796875" style="2" customWidth="1"/>
    <col min="3" max="3" width="16.26953125" style="2" customWidth="1"/>
    <col min="4" max="4" width="8" style="3" customWidth="1"/>
    <col min="5" max="5" width="9.26953125" style="3" customWidth="1"/>
    <col min="6" max="6" width="10" style="3" customWidth="1"/>
    <col min="7" max="7" width="10.1796875" style="3" customWidth="1"/>
    <col min="8" max="8" width="16.26953125" style="45" customWidth="1"/>
    <col min="9" max="9" width="16.81640625" style="46" customWidth="1"/>
    <col min="10" max="10" width="9.1796875" style="3" customWidth="1"/>
    <col min="11" max="11" width="9.1796875" style="3"/>
    <col min="12" max="12" width="14.1796875" style="3" bestFit="1" customWidth="1"/>
    <col min="13" max="16384" width="9.1796875" style="3"/>
  </cols>
  <sheetData>
    <row r="1" spans="1:9">
      <c r="A1" s="43"/>
    </row>
    <row r="2" spans="1:9" ht="44.25" customHeight="1"/>
    <row r="3" spans="1:9" ht="23.25" customHeight="1">
      <c r="A3" s="4"/>
    </row>
    <row r="4" spans="1:9" ht="3" customHeight="1">
      <c r="A4" s="80" t="s">
        <v>163</v>
      </c>
      <c r="B4" s="80"/>
      <c r="C4" s="80"/>
      <c r="D4" s="80"/>
      <c r="E4" s="80"/>
      <c r="F4" s="80"/>
      <c r="G4" s="80"/>
      <c r="H4" s="80"/>
      <c r="I4" s="80"/>
    </row>
    <row r="5" spans="1:9" s="5" customFormat="1" ht="40" customHeight="1" thickBot="1">
      <c r="A5" s="80"/>
      <c r="B5" s="80"/>
      <c r="C5" s="80"/>
      <c r="D5" s="80"/>
      <c r="E5" s="80"/>
      <c r="F5" s="80"/>
      <c r="G5" s="80"/>
      <c r="H5" s="80"/>
      <c r="I5" s="80"/>
    </row>
    <row r="6" spans="1:9" s="7" customFormat="1" ht="41.25" customHeight="1" thickBot="1">
      <c r="A6" s="6"/>
      <c r="B6" s="6"/>
      <c r="C6" s="6"/>
      <c r="H6" s="84" t="s">
        <v>164</v>
      </c>
      <c r="I6" s="85"/>
    </row>
    <row r="7" spans="1:9" s="13" customFormat="1" ht="13.5" thickBot="1">
      <c r="A7" s="8" t="s">
        <v>2</v>
      </c>
      <c r="B7" s="66" t="s">
        <v>3</v>
      </c>
      <c r="C7" s="67"/>
      <c r="D7" s="68"/>
      <c r="E7" s="69"/>
      <c r="F7" s="10" t="s">
        <v>5</v>
      </c>
      <c r="G7" s="11" t="s">
        <v>6</v>
      </c>
      <c r="H7" s="12" t="s">
        <v>7</v>
      </c>
      <c r="I7" s="12" t="s">
        <v>165</v>
      </c>
    </row>
    <row r="8" spans="1:9" s="19" customFormat="1" ht="22" customHeight="1" thickBot="1">
      <c r="A8" s="14">
        <v>1</v>
      </c>
      <c r="B8" s="99" t="s">
        <v>166</v>
      </c>
      <c r="C8" s="99"/>
      <c r="D8" s="99"/>
      <c r="E8" s="99"/>
      <c r="F8" s="16">
        <v>15</v>
      </c>
      <c r="G8" s="16" t="s">
        <v>29</v>
      </c>
      <c r="H8" s="61">
        <v>200</v>
      </c>
      <c r="I8" s="17">
        <f t="shared" ref="I8:I42" si="0">H8*F8</f>
        <v>3000</v>
      </c>
    </row>
    <row r="9" spans="1:9" s="19" customFormat="1" ht="22" customHeight="1" thickBot="1">
      <c r="A9" s="14">
        <v>2</v>
      </c>
      <c r="B9" s="99" t="s">
        <v>167</v>
      </c>
      <c r="C9" s="99"/>
      <c r="D9" s="99"/>
      <c r="E9" s="99"/>
      <c r="F9" s="16">
        <v>5</v>
      </c>
      <c r="G9" s="16" t="s">
        <v>29</v>
      </c>
      <c r="H9" s="53">
        <v>1500</v>
      </c>
      <c r="I9" s="17">
        <f t="shared" si="0"/>
        <v>7500</v>
      </c>
    </row>
    <row r="10" spans="1:9" s="19" customFormat="1" ht="22" customHeight="1" thickBot="1">
      <c r="A10" s="14">
        <v>3</v>
      </c>
      <c r="B10" s="98" t="s">
        <v>168</v>
      </c>
      <c r="C10" s="98"/>
      <c r="D10" s="98"/>
      <c r="E10" s="98"/>
      <c r="F10" s="16">
        <v>6</v>
      </c>
      <c r="G10" s="16" t="s">
        <v>29</v>
      </c>
      <c r="H10" s="53">
        <v>1300</v>
      </c>
      <c r="I10" s="17">
        <f t="shared" si="0"/>
        <v>7800</v>
      </c>
    </row>
    <row r="11" spans="1:9" s="19" customFormat="1" ht="22" customHeight="1" thickBot="1">
      <c r="A11" s="14">
        <v>4</v>
      </c>
      <c r="B11" s="98" t="s">
        <v>169</v>
      </c>
      <c r="C11" s="98"/>
      <c r="D11" s="98"/>
      <c r="E11" s="98"/>
      <c r="F11" s="16">
        <v>7</v>
      </c>
      <c r="G11" s="16" t="s">
        <v>29</v>
      </c>
      <c r="H11" s="53">
        <v>1300</v>
      </c>
      <c r="I11" s="17">
        <f t="shared" si="0"/>
        <v>9100</v>
      </c>
    </row>
    <row r="12" spans="1:9" s="19" customFormat="1" ht="23.15" customHeight="1" thickBot="1">
      <c r="A12" s="14">
        <v>5</v>
      </c>
      <c r="B12" s="63" t="s">
        <v>170</v>
      </c>
      <c r="C12" s="64"/>
      <c r="D12" s="64"/>
      <c r="E12" s="65"/>
      <c r="F12" s="16">
        <v>1</v>
      </c>
      <c r="G12" s="16" t="s">
        <v>29</v>
      </c>
      <c r="H12" s="53">
        <v>1200</v>
      </c>
      <c r="I12" s="17">
        <f t="shared" si="0"/>
        <v>1200</v>
      </c>
    </row>
    <row r="13" spans="1:9" s="19" customFormat="1" ht="22" customHeight="1" thickBot="1">
      <c r="A13" s="14">
        <v>6</v>
      </c>
      <c r="B13" s="98" t="s">
        <v>171</v>
      </c>
      <c r="C13" s="98"/>
      <c r="D13" s="98"/>
      <c r="E13" s="98"/>
      <c r="F13" s="16">
        <v>1</v>
      </c>
      <c r="G13" s="16" t="s">
        <v>29</v>
      </c>
      <c r="H13" s="53">
        <v>1000</v>
      </c>
      <c r="I13" s="17">
        <f t="shared" si="0"/>
        <v>1000</v>
      </c>
    </row>
    <row r="14" spans="1:9" s="19" customFormat="1" ht="22" customHeight="1" thickBot="1">
      <c r="A14" s="14">
        <v>7</v>
      </c>
      <c r="B14" s="98" t="s">
        <v>172</v>
      </c>
      <c r="C14" s="98"/>
      <c r="D14" s="98"/>
      <c r="E14" s="98"/>
      <c r="F14" s="16">
        <v>1</v>
      </c>
      <c r="G14" s="16" t="s">
        <v>29</v>
      </c>
      <c r="H14" s="53">
        <v>1050</v>
      </c>
      <c r="I14" s="17">
        <f t="shared" si="0"/>
        <v>1050</v>
      </c>
    </row>
    <row r="15" spans="1:9" s="19" customFormat="1" ht="22" customHeight="1" thickBot="1">
      <c r="A15" s="14">
        <v>8</v>
      </c>
      <c r="B15" s="98" t="s">
        <v>173</v>
      </c>
      <c r="C15" s="98"/>
      <c r="D15" s="98"/>
      <c r="E15" s="98"/>
      <c r="F15" s="16">
        <v>2</v>
      </c>
      <c r="G15" s="16" t="s">
        <v>29</v>
      </c>
      <c r="H15" s="53">
        <v>1000</v>
      </c>
      <c r="I15" s="17">
        <f t="shared" si="0"/>
        <v>2000</v>
      </c>
    </row>
    <row r="16" spans="1:9" s="19" customFormat="1" ht="22" customHeight="1" thickBot="1">
      <c r="A16" s="14">
        <v>9</v>
      </c>
      <c r="B16" s="98" t="s">
        <v>174</v>
      </c>
      <c r="C16" s="98"/>
      <c r="D16" s="98"/>
      <c r="E16" s="98"/>
      <c r="F16" s="16"/>
      <c r="G16" s="16" t="s">
        <v>29</v>
      </c>
      <c r="H16" s="53">
        <v>1500</v>
      </c>
      <c r="I16" s="17">
        <f t="shared" si="0"/>
        <v>0</v>
      </c>
    </row>
    <row r="17" spans="1:9" s="19" customFormat="1" ht="22" customHeight="1" thickBot="1">
      <c r="A17" s="14">
        <v>10</v>
      </c>
      <c r="B17" s="98" t="s">
        <v>175</v>
      </c>
      <c r="C17" s="98"/>
      <c r="D17" s="98"/>
      <c r="E17" s="98"/>
      <c r="F17" s="16"/>
      <c r="G17" s="16" t="s">
        <v>29</v>
      </c>
      <c r="H17" s="53">
        <v>900</v>
      </c>
      <c r="I17" s="17">
        <f t="shared" si="0"/>
        <v>0</v>
      </c>
    </row>
    <row r="18" spans="1:9" s="19" customFormat="1" ht="22" customHeight="1" thickBot="1">
      <c r="A18" s="14">
        <v>11</v>
      </c>
      <c r="B18" s="98" t="s">
        <v>176</v>
      </c>
      <c r="C18" s="98"/>
      <c r="D18" s="98"/>
      <c r="E18" s="98"/>
      <c r="F18" s="16"/>
      <c r="G18" s="16" t="s">
        <v>29</v>
      </c>
      <c r="H18" s="53">
        <v>1500</v>
      </c>
      <c r="I18" s="17">
        <f t="shared" si="0"/>
        <v>0</v>
      </c>
    </row>
    <row r="19" spans="1:9" s="19" customFormat="1" ht="22" customHeight="1" thickBot="1">
      <c r="A19" s="14">
        <v>12</v>
      </c>
      <c r="B19" s="98" t="s">
        <v>177</v>
      </c>
      <c r="C19" s="98"/>
      <c r="D19" s="98"/>
      <c r="E19" s="98"/>
      <c r="F19" s="16"/>
      <c r="G19" s="16" t="s">
        <v>29</v>
      </c>
      <c r="H19" s="53">
        <v>1500</v>
      </c>
      <c r="I19" s="17">
        <f t="shared" si="0"/>
        <v>0</v>
      </c>
    </row>
    <row r="20" spans="1:9" s="19" customFormat="1" ht="22" customHeight="1" thickBot="1">
      <c r="A20" s="14">
        <v>13</v>
      </c>
      <c r="B20" s="98" t="s">
        <v>178</v>
      </c>
      <c r="C20" s="98"/>
      <c r="D20" s="98"/>
      <c r="E20" s="98"/>
      <c r="F20" s="16"/>
      <c r="G20" s="16" t="s">
        <v>29</v>
      </c>
      <c r="H20" s="53">
        <v>2500</v>
      </c>
      <c r="I20" s="17">
        <f t="shared" si="0"/>
        <v>0</v>
      </c>
    </row>
    <row r="21" spans="1:9" s="19" customFormat="1" ht="22" customHeight="1" thickBot="1">
      <c r="A21" s="14">
        <v>14</v>
      </c>
      <c r="B21" s="98" t="s">
        <v>179</v>
      </c>
      <c r="C21" s="98"/>
      <c r="D21" s="98"/>
      <c r="E21" s="98"/>
      <c r="F21" s="16"/>
      <c r="G21" s="16" t="s">
        <v>29</v>
      </c>
      <c r="H21" s="53">
        <v>1400</v>
      </c>
      <c r="I21" s="17">
        <f t="shared" si="0"/>
        <v>0</v>
      </c>
    </row>
    <row r="22" spans="1:9" s="19" customFormat="1" ht="23.15" customHeight="1" thickBot="1">
      <c r="A22" s="14">
        <v>15</v>
      </c>
      <c r="B22" s="98" t="s">
        <v>180</v>
      </c>
      <c r="C22" s="98"/>
      <c r="D22" s="98"/>
      <c r="E22" s="98"/>
      <c r="F22" s="16"/>
      <c r="G22" s="16" t="s">
        <v>29</v>
      </c>
      <c r="H22" s="53">
        <v>1200</v>
      </c>
      <c r="I22" s="17">
        <f t="shared" si="0"/>
        <v>0</v>
      </c>
    </row>
    <row r="23" spans="1:9" s="19" customFormat="1" ht="22" customHeight="1" thickBot="1">
      <c r="A23" s="14">
        <v>16</v>
      </c>
      <c r="B23" s="98" t="s">
        <v>181</v>
      </c>
      <c r="C23" s="98"/>
      <c r="D23" s="98"/>
      <c r="E23" s="98"/>
      <c r="F23" s="16"/>
      <c r="G23" s="16" t="s">
        <v>29</v>
      </c>
      <c r="H23" s="53">
        <v>3000</v>
      </c>
      <c r="I23" s="17">
        <f t="shared" si="0"/>
        <v>0</v>
      </c>
    </row>
    <row r="24" spans="1:9" s="19" customFormat="1" ht="22" customHeight="1" thickBot="1">
      <c r="A24" s="14">
        <v>17</v>
      </c>
      <c r="B24" s="98" t="s">
        <v>182</v>
      </c>
      <c r="C24" s="98"/>
      <c r="D24" s="98"/>
      <c r="E24" s="98"/>
      <c r="F24" s="16"/>
      <c r="G24" s="16" t="s">
        <v>29</v>
      </c>
      <c r="H24" s="53">
        <v>1100</v>
      </c>
      <c r="I24" s="17">
        <f t="shared" si="0"/>
        <v>0</v>
      </c>
    </row>
    <row r="25" spans="1:9" s="19" customFormat="1" ht="22" customHeight="1" thickBot="1">
      <c r="A25" s="14">
        <v>18</v>
      </c>
      <c r="B25" s="98" t="s">
        <v>183</v>
      </c>
      <c r="C25" s="98"/>
      <c r="D25" s="98"/>
      <c r="E25" s="98"/>
      <c r="F25" s="16"/>
      <c r="G25" s="16" t="s">
        <v>29</v>
      </c>
      <c r="H25" s="53">
        <v>2000</v>
      </c>
      <c r="I25" s="17">
        <f t="shared" si="0"/>
        <v>0</v>
      </c>
    </row>
    <row r="26" spans="1:9" s="19" customFormat="1" ht="22" customHeight="1" thickBot="1">
      <c r="A26" s="14">
        <v>19</v>
      </c>
      <c r="B26" s="98" t="s">
        <v>184</v>
      </c>
      <c r="C26" s="98"/>
      <c r="D26" s="98"/>
      <c r="E26" s="98"/>
      <c r="F26" s="16"/>
      <c r="G26" s="16" t="s">
        <v>29</v>
      </c>
      <c r="H26" s="53">
        <v>15</v>
      </c>
      <c r="I26" s="17">
        <f t="shared" si="0"/>
        <v>0</v>
      </c>
    </row>
    <row r="27" spans="1:9" s="19" customFormat="1" ht="22" customHeight="1" thickBot="1">
      <c r="A27" s="14">
        <v>20</v>
      </c>
      <c r="B27" s="98" t="s">
        <v>185</v>
      </c>
      <c r="C27" s="98"/>
      <c r="D27" s="98"/>
      <c r="E27" s="98"/>
      <c r="F27" s="16"/>
      <c r="G27" s="16" t="s">
        <v>29</v>
      </c>
      <c r="H27" s="53">
        <v>250</v>
      </c>
      <c r="I27" s="17">
        <f t="shared" si="0"/>
        <v>0</v>
      </c>
    </row>
    <row r="28" spans="1:9" s="19" customFormat="1" ht="22" customHeight="1" thickBot="1">
      <c r="A28" s="14">
        <v>21</v>
      </c>
      <c r="B28" s="98" t="s">
        <v>186</v>
      </c>
      <c r="C28" s="98"/>
      <c r="D28" s="98"/>
      <c r="E28" s="98"/>
      <c r="F28" s="16"/>
      <c r="G28" s="16" t="s">
        <v>29</v>
      </c>
      <c r="H28" s="53">
        <v>50</v>
      </c>
      <c r="I28" s="17">
        <f t="shared" si="0"/>
        <v>0</v>
      </c>
    </row>
    <row r="29" spans="1:9" s="19" customFormat="1" ht="22" customHeight="1" thickBot="1">
      <c r="A29" s="14">
        <v>22</v>
      </c>
      <c r="B29" s="98" t="s">
        <v>187</v>
      </c>
      <c r="C29" s="98"/>
      <c r="D29" s="98"/>
      <c r="E29" s="98"/>
      <c r="F29" s="16"/>
      <c r="G29" s="16" t="s">
        <v>29</v>
      </c>
      <c r="H29" s="53">
        <v>35</v>
      </c>
      <c r="I29" s="17">
        <f t="shared" si="0"/>
        <v>0</v>
      </c>
    </row>
    <row r="30" spans="1:9" s="19" customFormat="1" ht="22" customHeight="1" thickBot="1">
      <c r="A30" s="14">
        <v>23</v>
      </c>
      <c r="B30" s="98" t="s">
        <v>188</v>
      </c>
      <c r="C30" s="98"/>
      <c r="D30" s="98"/>
      <c r="E30" s="98"/>
      <c r="F30" s="16"/>
      <c r="G30" s="16" t="s">
        <v>29</v>
      </c>
      <c r="H30" s="53">
        <v>35</v>
      </c>
      <c r="I30" s="17">
        <f t="shared" si="0"/>
        <v>0</v>
      </c>
    </row>
    <row r="31" spans="1:9" s="19" customFormat="1" ht="22" customHeight="1" thickBot="1">
      <c r="A31" s="14">
        <v>24</v>
      </c>
      <c r="B31" s="98" t="s">
        <v>189</v>
      </c>
      <c r="C31" s="98"/>
      <c r="D31" s="98"/>
      <c r="E31" s="98"/>
      <c r="F31" s="16"/>
      <c r="G31" s="16" t="s">
        <v>29</v>
      </c>
      <c r="H31" s="53">
        <v>25</v>
      </c>
      <c r="I31" s="17">
        <f t="shared" si="0"/>
        <v>0</v>
      </c>
    </row>
    <row r="32" spans="1:9" s="19" customFormat="1" ht="22" customHeight="1" thickBot="1">
      <c r="A32" s="14">
        <v>25</v>
      </c>
      <c r="B32" s="98" t="s">
        <v>190</v>
      </c>
      <c r="C32" s="98"/>
      <c r="D32" s="98"/>
      <c r="E32" s="98"/>
      <c r="F32" s="16"/>
      <c r="G32" s="16" t="s">
        <v>29</v>
      </c>
      <c r="H32" s="53">
        <v>120</v>
      </c>
      <c r="I32" s="17">
        <f t="shared" si="0"/>
        <v>0</v>
      </c>
    </row>
    <row r="33" spans="1:9" s="19" customFormat="1" ht="22" customHeight="1" thickBot="1">
      <c r="A33" s="14">
        <v>26</v>
      </c>
      <c r="B33" s="98" t="s">
        <v>191</v>
      </c>
      <c r="C33" s="98"/>
      <c r="D33" s="98"/>
      <c r="E33" s="98"/>
      <c r="F33" s="16"/>
      <c r="G33" s="16" t="s">
        <v>29</v>
      </c>
      <c r="H33" s="53">
        <v>120</v>
      </c>
      <c r="I33" s="17">
        <f t="shared" si="0"/>
        <v>0</v>
      </c>
    </row>
    <row r="34" spans="1:9" s="19" customFormat="1" ht="22" customHeight="1" thickBot="1">
      <c r="A34" s="14">
        <v>27</v>
      </c>
      <c r="B34" s="98" t="s">
        <v>192</v>
      </c>
      <c r="C34" s="98"/>
      <c r="D34" s="98"/>
      <c r="E34" s="98"/>
      <c r="F34" s="16"/>
      <c r="G34" s="16" t="s">
        <v>29</v>
      </c>
      <c r="H34" s="53">
        <v>100</v>
      </c>
      <c r="I34" s="17">
        <f t="shared" si="0"/>
        <v>0</v>
      </c>
    </row>
    <row r="35" spans="1:9" s="19" customFormat="1" ht="23.15" customHeight="1" thickBot="1">
      <c r="A35" s="14">
        <v>28</v>
      </c>
      <c r="B35" s="98" t="s">
        <v>193</v>
      </c>
      <c r="C35" s="98"/>
      <c r="D35" s="98"/>
      <c r="E35" s="98"/>
      <c r="F35" s="16"/>
      <c r="G35" s="16" t="s">
        <v>29</v>
      </c>
      <c r="H35" s="53">
        <v>75</v>
      </c>
      <c r="I35" s="17">
        <f t="shared" si="0"/>
        <v>0</v>
      </c>
    </row>
    <row r="36" spans="1:9" s="19" customFormat="1" ht="22" customHeight="1" thickBot="1">
      <c r="A36" s="14">
        <v>29</v>
      </c>
      <c r="B36" s="98" t="s">
        <v>194</v>
      </c>
      <c r="C36" s="98"/>
      <c r="D36" s="98"/>
      <c r="E36" s="98"/>
      <c r="F36" s="16"/>
      <c r="G36" s="16" t="s">
        <v>29</v>
      </c>
      <c r="H36" s="53">
        <v>70</v>
      </c>
      <c r="I36" s="17">
        <f t="shared" si="0"/>
        <v>0</v>
      </c>
    </row>
    <row r="37" spans="1:9" s="19" customFormat="1" ht="22" customHeight="1" thickBot="1">
      <c r="A37" s="14">
        <v>30</v>
      </c>
      <c r="B37" s="98" t="s">
        <v>195</v>
      </c>
      <c r="C37" s="98"/>
      <c r="D37" s="98"/>
      <c r="E37" s="98"/>
      <c r="F37" s="16"/>
      <c r="G37" s="16" t="s">
        <v>29</v>
      </c>
      <c r="H37" s="53">
        <v>30</v>
      </c>
      <c r="I37" s="17">
        <f t="shared" si="0"/>
        <v>0</v>
      </c>
    </row>
    <row r="38" spans="1:9" s="19" customFormat="1" ht="22" customHeight="1" thickBot="1">
      <c r="A38" s="14">
        <v>31</v>
      </c>
      <c r="B38" s="98" t="s">
        <v>196</v>
      </c>
      <c r="C38" s="98"/>
      <c r="D38" s="98"/>
      <c r="E38" s="98"/>
      <c r="F38" s="16"/>
      <c r="G38" s="16" t="s">
        <v>29</v>
      </c>
      <c r="H38" s="53">
        <v>20</v>
      </c>
      <c r="I38" s="17">
        <f t="shared" si="0"/>
        <v>0</v>
      </c>
    </row>
    <row r="39" spans="1:9" s="19" customFormat="1" ht="22" customHeight="1" thickBot="1">
      <c r="A39" s="14">
        <v>32</v>
      </c>
      <c r="B39" s="98" t="s">
        <v>197</v>
      </c>
      <c r="C39" s="98"/>
      <c r="D39" s="98"/>
      <c r="E39" s="98"/>
      <c r="F39" s="16"/>
      <c r="G39" s="16" t="s">
        <v>29</v>
      </c>
      <c r="H39" s="53">
        <v>25</v>
      </c>
      <c r="I39" s="17">
        <f t="shared" si="0"/>
        <v>0</v>
      </c>
    </row>
    <row r="40" spans="1:9" s="19" customFormat="1" ht="22" customHeight="1" thickBot="1">
      <c r="A40" s="14">
        <v>33</v>
      </c>
      <c r="B40" s="98" t="s">
        <v>198</v>
      </c>
      <c r="C40" s="98"/>
      <c r="D40" s="98"/>
      <c r="E40" s="98"/>
      <c r="F40" s="16"/>
      <c r="G40" s="16" t="s">
        <v>29</v>
      </c>
      <c r="H40" s="53">
        <v>35</v>
      </c>
      <c r="I40" s="17">
        <f t="shared" si="0"/>
        <v>0</v>
      </c>
    </row>
    <row r="41" spans="1:9" s="19" customFormat="1" ht="22" customHeight="1" thickBot="1">
      <c r="A41" s="14">
        <v>34</v>
      </c>
      <c r="B41" s="98" t="s">
        <v>199</v>
      </c>
      <c r="C41" s="98"/>
      <c r="D41" s="98"/>
      <c r="E41" s="98"/>
      <c r="F41" s="16">
        <v>3</v>
      </c>
      <c r="G41" s="16" t="s">
        <v>29</v>
      </c>
      <c r="H41" s="53">
        <v>50</v>
      </c>
      <c r="I41" s="17">
        <f t="shared" si="0"/>
        <v>150</v>
      </c>
    </row>
    <row r="42" spans="1:9" s="19" customFormat="1" ht="22" customHeight="1" thickBot="1">
      <c r="A42" s="14">
        <v>35</v>
      </c>
      <c r="B42" s="98" t="s">
        <v>200</v>
      </c>
      <c r="C42" s="98"/>
      <c r="D42" s="98"/>
      <c r="E42" s="98"/>
      <c r="F42" s="16"/>
      <c r="G42" s="16" t="s">
        <v>29</v>
      </c>
      <c r="H42" s="53">
        <v>60</v>
      </c>
      <c r="I42" s="17">
        <f t="shared" si="0"/>
        <v>0</v>
      </c>
    </row>
    <row r="43" spans="1:9" ht="21" customHeight="1" thickBot="1">
      <c r="A43" s="25"/>
      <c r="B43" s="26"/>
      <c r="C43" s="26"/>
      <c r="D43" s="27"/>
      <c r="E43" s="27"/>
      <c r="F43" s="28"/>
      <c r="G43" s="29" t="s">
        <v>70</v>
      </c>
      <c r="H43" s="86">
        <f>SUM(I8:I42)</f>
        <v>32800</v>
      </c>
      <c r="I43" s="87"/>
    </row>
  </sheetData>
  <mergeCells count="39">
    <mergeCell ref="A4:I5"/>
    <mergeCell ref="H6:I6"/>
    <mergeCell ref="H43:I43"/>
    <mergeCell ref="B32:E32"/>
    <mergeCell ref="B7:E7"/>
    <mergeCell ref="B8:E8"/>
    <mergeCell ref="B9:E9"/>
    <mergeCell ref="B10:E10"/>
    <mergeCell ref="B11:E11"/>
    <mergeCell ref="B12:E12"/>
    <mergeCell ref="B13:E13"/>
    <mergeCell ref="B14:E14"/>
    <mergeCell ref="B17:E17"/>
    <mergeCell ref="B18:E18"/>
    <mergeCell ref="B19:E19"/>
    <mergeCell ref="B20:E20"/>
    <mergeCell ref="B21:E21"/>
    <mergeCell ref="B15:E15"/>
    <mergeCell ref="B16:E16"/>
    <mergeCell ref="B29:E29"/>
    <mergeCell ref="B30:E30"/>
    <mergeCell ref="B31:E31"/>
    <mergeCell ref="B22:E22"/>
    <mergeCell ref="B23:E23"/>
    <mergeCell ref="B24:E24"/>
    <mergeCell ref="B25:E25"/>
    <mergeCell ref="B26:E26"/>
    <mergeCell ref="B27:E27"/>
    <mergeCell ref="B28:E28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2:E42"/>
  </mergeCells>
  <printOptions horizontalCentered="1"/>
  <pageMargins left="0.25" right="0.25" top="0.25" bottom="0.25" header="0.23622047244094499" footer="0.25"/>
  <pageSetup paperSize="9" scale="71" fitToHeight="0" orientation="landscape" r:id="rId1"/>
  <headerFooter alignWithMargins="0">
    <oddFooter>&amp;C&amp;"Arial,Italic"&amp;9Page &amp;P of 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F5E71FAC24D841826ED042CAE0A9AB" ma:contentTypeVersion="15" ma:contentTypeDescription="Create a new document." ma:contentTypeScope="" ma:versionID="6672c89036c38a325a62bd50894074a6">
  <xsd:schema xmlns:xsd="http://www.w3.org/2001/XMLSchema" xmlns:xs="http://www.w3.org/2001/XMLSchema" xmlns:p="http://schemas.microsoft.com/office/2006/metadata/properties" xmlns:ns2="d5ebe1be-1ad7-478f-aff1-159c4b0d7ddc" xmlns:ns3="846ce54a-1e16-4d0e-815f-97180b873520" targetNamespace="http://schemas.microsoft.com/office/2006/metadata/properties" ma:root="true" ma:fieldsID="34df2b2de7a22fece583b05acb913d3e" ns2:_="" ns3:_="">
    <xsd:import namespace="d5ebe1be-1ad7-478f-aff1-159c4b0d7ddc"/>
    <xsd:import namespace="846ce54a-1e16-4d0e-815f-97180b8735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ebe1be-1ad7-478f-aff1-159c4b0d7d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53f610b-9ee9-4302-9a9e-eaae0f0c7b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6ce54a-1e16-4d0e-815f-97180b87352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0618b471-bb58-48a7-992c-69b101636eec}" ma:internalName="TaxCatchAll" ma:showField="CatchAllData" ma:web="846ce54a-1e16-4d0e-815f-97180b8735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46ce54a-1e16-4d0e-815f-97180b873520" xsi:nil="true"/>
    <lcf76f155ced4ddcb4097134ff3c332f xmlns="d5ebe1be-1ad7-478f-aff1-159c4b0d7d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818D24A-E7A2-440E-BC6D-5953B693A7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5888861-F9CC-40C7-9757-F44C76EA31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ebe1be-1ad7-478f-aff1-159c4b0d7ddc"/>
    <ds:schemaRef ds:uri="846ce54a-1e16-4d0e-815f-97180b8735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99631E-56F7-4905-996B-8C8B78E5E090}">
  <ds:schemaRefs>
    <ds:schemaRef ds:uri="http://schemas.microsoft.com/office/2006/metadata/properties"/>
    <ds:schemaRef ds:uri="http://schemas.microsoft.com/office/infopath/2007/PartnerControls"/>
    <ds:schemaRef ds:uri="846ce54a-1e16-4d0e-815f-97180b873520"/>
    <ds:schemaRef ds:uri="d5ebe1be-1ad7-478f-aff1-159c4b0d7ddc"/>
  </ds:schemaRefs>
</ds:datastoreItem>
</file>

<file path=docMetadata/LabelInfo.xml><?xml version="1.0" encoding="utf-8"?>
<clbl:labelList xmlns:clbl="http://schemas.microsoft.com/office/2020/mipLabelMetadata">
  <clbl:label id="{2059aa38-f392-4105-be92-628035578272}" enabled="1" method="Standard" siteId="{1588262d-23fb-43b4-bd6e-bce49c8e618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Groceries Standard Kits</vt:lpstr>
      <vt:lpstr>Cosmetic, Facial Make-Up, Manic</vt:lpstr>
      <vt:lpstr>Mobile Phone and Accessories</vt:lpstr>
      <vt:lpstr>'Cosmetic, Facial Make-Up, Manic'!Print_Area</vt:lpstr>
      <vt:lpstr>'Groceries Standard Kits'!Print_Area</vt:lpstr>
      <vt:lpstr>'Mobile Phone and Accessories'!Print_Area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SESAY Jinkey</dc:creator>
  <cp:keywords/>
  <dc:description/>
  <cp:lastModifiedBy>Student</cp:lastModifiedBy>
  <cp:revision/>
  <dcterms:created xsi:type="dcterms:W3CDTF">2025-12-10T16:27:43Z</dcterms:created>
  <dcterms:modified xsi:type="dcterms:W3CDTF">2026-10-06T11:52:34Z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0x0101006FF5E71FAC24D841826ED042CAE0A9AB</vt:lpwstr>
  </property>
  <property fmtid="{D5CDD505-2E9C-101B-9397-08002B2CF9AE}" pid="3" name="MediaServiceImageTags">
    <vt:lpwstr/>
  </property>
</Properties>
</file>